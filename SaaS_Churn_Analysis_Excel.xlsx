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media/image4.xlsrvcdf" ContentType="image/png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1DFC\EXCELCNV\2fd799fd-208c-4df6-b9cd-5512660f9ed7\"/>
    </mc:Choice>
  </mc:AlternateContent>
  <xr:revisionPtr revIDLastSave="0" documentId="8_{39CDD851-5F3F-40D6-B330-9ACB3FB97998}" xr6:coauthVersionLast="47" xr6:coauthVersionMax="47" xr10:uidLastSave="{00000000-0000-0000-0000-000000000000}"/>
  <bookViews>
    <workbookView xWindow="-60" yWindow="-60" windowWidth="15480" windowHeight="11640" xr2:uid="{19B4A9E8-5C16-4C3B-BB61-2EBBDB8E6A5A}"/>
  </bookViews>
  <sheets>
    <sheet name="Raw_Churn" sheetId="1" r:id="rId1"/>
    <sheet name="Clean_Churn" sheetId="2" r:id="rId2"/>
    <sheet name="pivot_table" sheetId="3" r:id="rId3"/>
    <sheet name="Dashboard" sheetId="4" r:id="rId4"/>
  </sheets>
  <definedNames>
    <definedName name="_xlnm._FilterDatabase" localSheetId="1" hidden="1">Clean_Churn!$L$13:$L$13</definedName>
    <definedName name="_xlnm._FilterDatabase" localSheetId="2" hidden="1">pivot_table!$C$9:$C$9</definedName>
  </definedNames>
  <calcPr calcId="191028"/>
  <pivotCaches>
    <pivotCache cacheId="36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I19" i="2"/>
  <c r="I83" i="2"/>
  <c r="I24" i="2"/>
  <c r="I77" i="2"/>
  <c r="I78" i="2"/>
  <c r="I7" i="2"/>
  <c r="I72" i="2"/>
  <c r="I49" i="2"/>
  <c r="I103" i="2"/>
  <c r="I50" i="2"/>
  <c r="I27" i="2"/>
  <c r="I67" i="2"/>
  <c r="I40" i="2"/>
  <c r="I57" i="2"/>
  <c r="I22" i="2"/>
  <c r="I86" i="2"/>
  <c r="I18" i="2"/>
  <c r="I46" i="2"/>
  <c r="I73" i="2"/>
  <c r="I89" i="2"/>
  <c r="I6" i="2"/>
  <c r="I55" i="2"/>
  <c r="I102" i="2"/>
  <c r="I16" i="2"/>
  <c r="I31" i="2"/>
  <c r="I15" i="2"/>
  <c r="I98" i="2"/>
  <c r="I104" i="2"/>
  <c r="I34" i="2"/>
  <c r="I87" i="2"/>
  <c r="I26" i="2"/>
  <c r="I52" i="2"/>
  <c r="I74" i="2"/>
  <c r="I93" i="2"/>
  <c r="I32" i="2"/>
  <c r="I75" i="2"/>
  <c r="I13" i="2"/>
  <c r="I99" i="2"/>
  <c r="I23" i="2"/>
  <c r="I95" i="2"/>
  <c r="I58" i="2"/>
  <c r="I76" i="2"/>
  <c r="I71" i="2"/>
  <c r="I100" i="2"/>
  <c r="I45" i="2"/>
  <c r="I105" i="2"/>
  <c r="I80" i="2"/>
  <c r="I90" i="2"/>
  <c r="I38" i="2"/>
  <c r="I94" i="2"/>
  <c r="I41" i="2"/>
  <c r="I51" i="2"/>
  <c r="I61" i="2"/>
  <c r="I63" i="2"/>
  <c r="I8" i="2"/>
  <c r="I29" i="2"/>
  <c r="I91" i="2"/>
  <c r="I96" i="2"/>
  <c r="I28" i="2"/>
  <c r="I64" i="2"/>
  <c r="I48" i="2"/>
  <c r="I101" i="2"/>
  <c r="I97" i="2"/>
  <c r="I59" i="2"/>
  <c r="I37" i="2"/>
  <c r="I10" i="2"/>
  <c r="I88" i="2"/>
  <c r="I62" i="2"/>
  <c r="I14" i="2"/>
  <c r="I60" i="2"/>
  <c r="I68" i="2"/>
  <c r="I84" i="2"/>
  <c r="I36" i="2"/>
  <c r="I35" i="2"/>
  <c r="I47" i="2"/>
  <c r="I56" i="2"/>
  <c r="I30" i="2"/>
  <c r="I70" i="2"/>
  <c r="I85" i="2"/>
  <c r="I65" i="2"/>
  <c r="I81" i="2"/>
  <c r="I79" i="2"/>
  <c r="I54" i="2"/>
  <c r="I11" i="2"/>
  <c r="I66" i="2"/>
  <c r="I25" i="2"/>
  <c r="I43" i="2"/>
  <c r="I69" i="2"/>
  <c r="I53" i="2"/>
  <c r="I9" i="2"/>
  <c r="I17" i="2"/>
  <c r="I33" i="2"/>
  <c r="I12" i="2"/>
  <c r="I44" i="2"/>
  <c r="I42" i="2"/>
  <c r="I39" i="2"/>
  <c r="I20" i="2"/>
  <c r="I92" i="2"/>
  <c r="I82" i="2"/>
  <c r="I21" i="2"/>
</calcChain>
</file>

<file path=xl/sharedStrings.xml><?xml version="1.0" encoding="utf-8"?>
<sst xmlns="http://schemas.openxmlformats.org/spreadsheetml/2006/main" count="729" uniqueCount="132">
  <si>
    <t>customer_id</t>
  </si>
  <si>
    <t>plan</t>
  </si>
  <si>
    <t>signup_date</t>
  </si>
  <si>
    <t>churned</t>
  </si>
  <si>
    <t>churn_date</t>
  </si>
  <si>
    <t>monthly_revenue</t>
  </si>
  <si>
    <t>C001</t>
  </si>
  <si>
    <t>Basic</t>
  </si>
  <si>
    <t>Yes</t>
  </si>
  <si>
    <t>C002</t>
  </si>
  <si>
    <t>Enterprise</t>
  </si>
  <si>
    <t>C003</t>
  </si>
  <si>
    <t>C004</t>
  </si>
  <si>
    <t>C005</t>
  </si>
  <si>
    <t>No</t>
  </si>
  <si>
    <t>C006</t>
  </si>
  <si>
    <t>Pro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</si>
  <si>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</si>
  <si>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</si>
  <si>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</si>
  <si>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</si>
  <si>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</si>
  <si>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</si>
  <si>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</si>
  <si>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</si>
  <si>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</si>
  <si>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</si>
  <si>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</si>
  <si>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</si>
  <si>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</si>
  <si>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</si>
  <si>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</si>
  <si>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</si>
  <si>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</si>
  <si>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</si>
  <si>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</si>
  <si>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</si>
  <si>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</si>
  <si>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</si>
  <si>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</si>
  <si>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</si>
  <si>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</si>
  <si>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</si>
  <si>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</si>
  <si>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</si>
  <si>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</si>
  <si>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</si>
  <si>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</si>
  <si>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</si>
  <si>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</si>
  <si>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</si>
  <si>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</si>
  <si>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</si>
  <si>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</si>
  <si>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</si>
  <si>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</si>
  <si>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</si>
  <si>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</si>
  <si>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</si>
  <si>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</si>
  <si>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</si>
  <si>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</si>
  <si>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</si>
  <si>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</si>
  <si>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</si>
  <si>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</si>
  <si>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</si>
  <si>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</si>
  <si>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</si>
  <si>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</si>
  <si>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</si>
  <si>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</si>
  <si>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</si>
  <si>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</si>
  <si>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</si>
  <si>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</si>
  <si>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</si>
  <si>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</si>
  <si>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</si>
  <si>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</si>
  <si>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</si>
  <si>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</si>
  <si>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</si>
  <si>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</si>
  <si>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</si>
  <si>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</si>
  <si>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</si>
  <si>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</si>
  <si>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</si>
  <si>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</si>
  <si>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</si>
  <si>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</si>
  <si>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</si>
  <si>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</si>
  <si>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</si>
  <si>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</si>
  <si>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</si>
  <si>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</si>
  <si>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</si>
  <si>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</si>
  <si>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</si>
  <si>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</si>
  <si>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</si>
  <si>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</si>
  <si>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</si>
  <si>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</si>
  <si>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</si>
  <si>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</si>
  <si>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</si>
  <si>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</si>
  <si>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</si>
  <si>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Customer_Id</t>
  </si>
  <si>
    <t>Plan</t>
  </si>
  <si>
    <t>Signup_Date</t>
  </si>
  <si>
    <t>New_User_Arrival (in days)</t>
  </si>
  <si>
    <t>Churned</t>
  </si>
  <si>
    <t>Churn_Date</t>
  </si>
  <si>
    <t>Time_to_Churn (days)</t>
  </si>
  <si>
    <t>Plan_Status</t>
  </si>
  <si>
    <t>Monthly_Revenue (in $)</t>
  </si>
  <si>
    <t/>
  </si>
  <si>
    <t>Pivot Tables</t>
  </si>
  <si>
    <t>Total Revenue</t>
  </si>
  <si>
    <t>Total Users Percentage</t>
  </si>
  <si>
    <t>Max Churn Time Duration (days)</t>
  </si>
  <si>
    <t>Min Churn Time Duration (days)</t>
  </si>
  <si>
    <t>Average New User Arrival (in days)</t>
  </si>
  <si>
    <t>Active</t>
  </si>
  <si>
    <t>Active Total</t>
  </si>
  <si>
    <t>Not Active</t>
  </si>
  <si>
    <t>Not Active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</si>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</sst>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man Old Style"/>
    </font>
    <font>
      <b/>
      <sz val="36"/>
      <color rgb="FFFFFFFF"/>
      <name val="Century Gothic"/>
    </font>
    <font>
      <sz val="36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0" borderId="0" xfId="0" applyFont="1"/>
    <xf numFmtId="49" fontId="18" fillId="0" borderId="0" xfId="0" applyNumberFormat="1" applyFont="1"/>
    <xf numFmtId="49" fontId="0" fillId="0" borderId="0" xfId="0" applyNumberFormat="1"/>
    <xf numFmtId="2" fontId="0" fillId="0" borderId="0" xfId="0" applyNumberFormat="1"/>
    <xf numFmtId="49" fontId="18" fillId="0" borderId="0" xfId="0" applyNumberFormat="1" applyFont="1" applyAlignment="1">
      <alignment horizontal="left" indent="1"/>
    </xf>
    <xf numFmtId="49" fontId="0" fillId="0" borderId="0" xfId="0" applyNumberFormat="1" applyAlignment="1">
      <alignment horizontal="left" indent="1"/>
    </xf>
    <xf numFmtId="49" fontId="18" fillId="0" borderId="0" xfId="0" applyNumberFormat="1" applyFont="1" applyAlignment="1">
      <alignment horizontal="left" wrapText="1" indent="1"/>
    </xf>
    <xf numFmtId="0" fontId="0" fillId="0" borderId="0" xfId="0" applyAlignment="1">
      <alignment horizontal="center"/>
    </xf>
    <xf numFmtId="1" fontId="1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8" fillId="0" borderId="0" xfId="0" applyNumberFormat="1" applyFont="1" applyAlignment="1">
      <alignment horizontal="left" indent="1"/>
    </xf>
    <xf numFmtId="1" fontId="0" fillId="0" borderId="0" xfId="0" applyNumberFormat="1" applyAlignment="1">
      <alignment horizontal="left" indent="1"/>
    </xf>
    <xf numFmtId="14" fontId="18" fillId="0" borderId="0" xfId="0" applyNumberFormat="1" applyFont="1" applyAlignment="1">
      <alignment horizontal="right" indent="1"/>
    </xf>
    <xf numFmtId="14" fontId="0" fillId="0" borderId="0" xfId="0" applyNumberFormat="1" applyAlignment="1">
      <alignment horizontal="right" indent="1"/>
    </xf>
    <xf numFmtId="1" fontId="18" fillId="0" borderId="0" xfId="0" applyNumberFormat="1" applyFont="1" applyAlignment="1">
      <alignment horizontal="center" indent="1"/>
    </xf>
    <xf numFmtId="1" fontId="0" fillId="0" borderId="0" xfId="0" applyNumberFormat="1" applyAlignment="1">
      <alignment horizontal="center" indent="1"/>
    </xf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33" borderId="0" xfId="0" applyFill="1"/>
    <xf numFmtId="0" fontId="0" fillId="0" borderId="0" xfId="0" applyFont="1"/>
    <xf numFmtId="0" fontId="0" fillId="34" borderId="0" xfId="0" applyFont="1" applyFill="1"/>
    <xf numFmtId="0" fontId="16" fillId="35" borderId="10" xfId="0" applyFont="1" applyFill="1" applyBorder="1"/>
    <xf numFmtId="0" fontId="16" fillId="0" borderId="0" xfId="0" applyFont="1"/>
    <xf numFmtId="0" fontId="16" fillId="0" borderId="10" xfId="0" applyFont="1" applyBorder="1"/>
    <xf numFmtId="0" fontId="16" fillId="0" borderId="11" xfId="0" applyFont="1" applyBorder="1"/>
    <xf numFmtId="1" fontId="16" fillId="0" borderId="11" xfId="0" applyNumberFormat="1" applyFont="1" applyBorder="1"/>
    <xf numFmtId="0" fontId="16" fillId="35" borderId="12" xfId="0" applyFont="1" applyFill="1" applyBorder="1"/>
    <xf numFmtId="1" fontId="16" fillId="35" borderId="12" xfId="0" applyNumberFormat="1" applyFont="1" applyFill="1" applyBorder="1"/>
    <xf numFmtId="10" fontId="16" fillId="0" borderId="11" xfId="0" applyNumberFormat="1" applyFont="1" applyBorder="1"/>
    <xf numFmtId="9" fontId="16" fillId="35" borderId="12" xfId="0" applyNumberFormat="1" applyFont="1" applyFill="1" applyBorder="1"/>
    <xf numFmtId="0" fontId="16" fillId="0" borderId="11" xfId="0" applyNumberFormat="1" applyFont="1" applyBorder="1"/>
    <xf numFmtId="0" fontId="16" fillId="35" borderId="12" xfId="0" applyNumberFormat="1" applyFont="1" applyFill="1" applyBorder="1"/>
    <xf numFmtId="0" fontId="16" fillId="36" borderId="11" xfId="0" applyFont="1" applyFill="1" applyBorder="1"/>
    <xf numFmtId="0" fontId="13" fillId="36" borderId="11" xfId="0" applyFont="1" applyFill="1" applyBorder="1"/>
    <xf numFmtId="0" fontId="16" fillId="33" borderId="0" xfId="0" applyFont="1" applyFill="1"/>
    <xf numFmtId="0" fontId="16" fillId="34" borderId="0" xfId="0" applyFont="1" applyFill="1"/>
    <xf numFmtId="0" fontId="19" fillId="38" borderId="0" xfId="0" applyFont="1" applyFill="1" applyAlignment="1">
      <alignment horizontal="center" vertical="center"/>
    </xf>
    <xf numFmtId="0" fontId="20" fillId="38" borderId="0" xfId="0" applyFont="1" applyFill="1" applyAlignment="1">
      <alignment horizontal="center" vertical="center"/>
    </xf>
    <xf numFmtId="0" fontId="0" fillId="3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" formatCode="0"/>
      <alignment horizontal="center" vertical="center"/>
    </dxf>
    <dxf>
      <numFmt numFmtId="30" formatCode="@"/>
      <alignment horizontal="left" relativeIndent="1"/>
    </dxf>
    <dxf>
      <numFmt numFmtId="1" formatCode="0"/>
      <alignment horizontal="left" vertical="bottom" textRotation="0" wrapText="0" indent="1" justifyLastLine="0" shrinkToFit="0" readingOrder="0"/>
    </dxf>
    <dxf>
      <numFmt numFmtId="19" formatCode="m/d/yyyy"/>
      <alignment horizontal="right" relativeIndent="1"/>
    </dxf>
    <dxf>
      <numFmt numFmtId="30" formatCode="@"/>
      <alignment horizontal="left" relativeIndent="1"/>
    </dxf>
    <dxf>
      <numFmt numFmtId="1" formatCode="0"/>
      <alignment horizontal="center" vertical="bottom" textRotation="0" wrapText="0" indent="1" justifyLastLine="0" shrinkToFit="0" readingOrder="0"/>
    </dxf>
    <dxf>
      <numFmt numFmtId="19" formatCode="m/d/yyyy"/>
      <alignment horizontal="right" relativeIndent="1"/>
    </dxf>
    <dxf>
      <numFmt numFmtId="30" formatCode="@"/>
    </dxf>
    <dxf>
      <font>
        <b val="0"/>
        <sz val="12"/>
        <name val="Bookman Old Style"/>
      </font>
    </dxf>
    <dxf>
      <numFmt numFmtId="27" formatCode="m/d/yyyy\ h:mm"/>
    </dxf>
    <dxf>
      <numFmt numFmtId="19" formatCode="m/d/yyyy"/>
    </dxf>
    <dxf>
      <alignment horizontal="center"/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fgColor indexed="64"/>
          <bgColor rgb="FF92D050"/>
        </patternFill>
      </fill>
    </dxf>
    <dxf>
      <font>
        <color theme="1"/>
      </font>
    </dxf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Active Users Percentage</a:t>
            </a:r>
          </a:p>
        </c:rich>
      </c:tx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pivot_table!$I$18</c:f>
              <c:strCache>
                <c:ptCount val="1"/>
                <c:pt idx="0">
                  <c:v>Total Users Percentage</c:v>
                </c:pt>
              </c:strCache>
            </c:strRef>
          </c:tx>
          <c:dPt>
            <c:idx val="0"/>
            <c:bubble3D val="0"/>
            <c:spPr>
              <a:solidFill>
                <a:srgbClr val="5959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5F-4669-B3BD-0BEBA7DE1311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5F-4669-B3BD-0BEBA7DE13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5F-4669-B3BD-0BEBA7DE131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pivot_table!$H$19:$H$21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pivot_table!$I$19:$I$21</c:f>
              <c:numCache>
                <c:formatCode>0%</c:formatCode>
                <c:ptCount val="3"/>
                <c:pt idx="0">
                  <c:v>0.15</c:v>
                </c:pt>
                <c:pt idx="1">
                  <c:v>0.18</c:v>
                </c:pt>
                <c:pt idx="2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5F-4669-B3BD-0BEBA7DE13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0808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multiLvlStrRef>
              <c:f>pivot_table!$C$19:$D$25</c:f>
              <c:multiLvlStrCache>
                <c:ptCount val="7"/>
                <c:lvl>
                  <c:pt idx="0">
                    <c:v>Basic</c:v>
                  </c:pt>
                  <c:pt idx="1">
                    <c:v>Enterprise</c:v>
                  </c:pt>
                  <c:pt idx="2">
                    <c:v>Pro</c:v>
                  </c:pt>
                  <c:pt idx="4">
                    <c:v>Basic</c:v>
                  </c:pt>
                  <c:pt idx="5">
                    <c:v>Enterprise</c:v>
                  </c:pt>
                  <c:pt idx="6">
                    <c:v>Pro</c:v>
                  </c:pt>
                </c:lvl>
                <c:lvl>
                  <c:pt idx="0">
                    <c:v>Active</c:v>
                  </c:pt>
                  <c:pt idx="4">
                    <c:v>Not Active</c:v>
                  </c:pt>
                </c:lvl>
              </c:multiLvlStrCache>
            </c:multiLvlStrRef>
          </c:cat>
          <c:val>
            <c:numRef>
              <c:f>pivot_table!$E$19:$E$25</c:f>
              <c:numCache>
                <c:formatCode>0</c:formatCode>
                <c:ptCount val="7"/>
                <c:pt idx="0">
                  <c:v>555</c:v>
                </c:pt>
                <c:pt idx="1">
                  <c:v>852</c:v>
                </c:pt>
                <c:pt idx="2">
                  <c:v>807</c:v>
                </c:pt>
                <c:pt idx="4">
                  <c:v>738</c:v>
                </c:pt>
                <c:pt idx="5">
                  <c:v>1166</c:v>
                </c:pt>
                <c:pt idx="6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D-49E6-B635-37B0E378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145095"/>
        <c:axId val="853147143"/>
      </c:barChart>
      <c:catAx>
        <c:axId val="853145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47143"/>
        <c:crosses val="autoZero"/>
        <c:auto val="1"/>
        <c:lblAlgn val="ctr"/>
        <c:lblOffset val="100"/>
        <c:noMultiLvlLbl val="0"/>
      </c:catAx>
      <c:valAx>
        <c:axId val="8531471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solidFill>
            <a:srgbClr val="000000"/>
          </a:solidFill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45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80808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Churned Percentage</a:t>
            </a:r>
          </a:p>
        </c:rich>
      </c:tx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959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1-488B-9034-A62921FDEF83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11-488B-9034-A62921FDEF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11-488B-9034-A62921FDEF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pivot_table!$H$23:$H$25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pivot_table!$I$23:$I$25</c:f>
              <c:numCache>
                <c:formatCode>0%</c:formatCode>
                <c:ptCount val="3"/>
                <c:pt idx="0">
                  <c:v>0.12</c:v>
                </c:pt>
                <c:pt idx="1">
                  <c:v>0.24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11-488B-9034-A62921FDEF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08080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pivot_table!$D$35:$D$37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pivot_table!$E$35:$E$37</c:f>
              <c:numCache>
                <c:formatCode>General</c:formatCode>
                <c:ptCount val="3"/>
                <c:pt idx="0">
                  <c:v>375</c:v>
                </c:pt>
                <c:pt idx="1">
                  <c:v>400</c:v>
                </c:pt>
                <c:pt idx="2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B-46BE-BF17-755D8EE0958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pivot_table!$D$35:$D$37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pivot_table!$F$35:$F$37</c:f>
              <c:numCache>
                <c:formatCode>General</c:formatCode>
                <c:ptCount val="3"/>
                <c:pt idx="0">
                  <c:v>45</c:v>
                </c:pt>
                <c:pt idx="1">
                  <c:v>53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B-46BE-BF17-755D8EE0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9033608"/>
        <c:axId val="1699035656"/>
      </c:barChart>
      <c:catAx>
        <c:axId val="169903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35656"/>
        <c:crosses val="autoZero"/>
        <c:auto val="1"/>
        <c:lblAlgn val="ctr"/>
        <c:lblOffset val="100"/>
        <c:noMultiLvlLbl val="0"/>
      </c:catAx>
      <c:valAx>
        <c:axId val="169903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3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0404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CE-4568-A6CC-70FD6DD3219A}"/>
              </c:ext>
            </c:extLst>
          </c:dPt>
          <c:dPt>
            <c:idx val="5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CE-4568-A6CC-70FD6DD3219A}"/>
              </c:ext>
            </c:extLst>
          </c:dPt>
          <c:dPt>
            <c:idx val="6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CE-4568-A6CC-70FD6DD3219A}"/>
              </c:ext>
            </c:extLst>
          </c:dPt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pivot_table!$C$19:$D$25</c:f>
              <c:multiLvlStrCache>
                <c:ptCount val="7"/>
                <c:lvl>
                  <c:pt idx="0">
                    <c:v>Basic</c:v>
                  </c:pt>
                  <c:pt idx="1">
                    <c:v>Enterprise</c:v>
                  </c:pt>
                  <c:pt idx="2">
                    <c:v>Pro</c:v>
                  </c:pt>
                  <c:pt idx="4">
                    <c:v>Basic</c:v>
                  </c:pt>
                  <c:pt idx="5">
                    <c:v>Enterprise</c:v>
                  </c:pt>
                  <c:pt idx="6">
                    <c:v>Pro</c:v>
                  </c:pt>
                </c:lvl>
                <c:lvl>
                  <c:pt idx="0">
                    <c:v>Active</c:v>
                  </c:pt>
                  <c:pt idx="4">
                    <c:v>Not Active</c:v>
                  </c:pt>
                </c:lvl>
              </c:multiLvlStrCache>
            </c:multiLvlStrRef>
          </c:cat>
          <c:val>
            <c:numRef>
              <c:f>pivot_table!$E$19:$E$25</c:f>
              <c:numCache>
                <c:formatCode>0</c:formatCode>
                <c:ptCount val="7"/>
                <c:pt idx="0">
                  <c:v>555</c:v>
                </c:pt>
                <c:pt idx="1">
                  <c:v>852</c:v>
                </c:pt>
                <c:pt idx="2">
                  <c:v>807</c:v>
                </c:pt>
                <c:pt idx="4">
                  <c:v>738</c:v>
                </c:pt>
                <c:pt idx="5">
                  <c:v>1166</c:v>
                </c:pt>
                <c:pt idx="6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E-4568-A6CC-70FD6DD321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3145095"/>
        <c:axId val="853147143"/>
      </c:barChart>
      <c:catAx>
        <c:axId val="853145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47143"/>
        <c:crosses val="autoZero"/>
        <c:auto val="1"/>
        <c:lblAlgn val="ctr"/>
        <c:lblOffset val="100"/>
        <c:noMultiLvlLbl val="0"/>
      </c:catAx>
      <c:valAx>
        <c:axId val="8531471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45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808080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TIme Duration</a:t>
            </a:r>
          </a:p>
        </c:rich>
      </c:tx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pivot_table!$D$35:$D$37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pivot_table!$E$35:$E$37</c:f>
              <c:numCache>
                <c:formatCode>General</c:formatCode>
                <c:ptCount val="3"/>
                <c:pt idx="0">
                  <c:v>375</c:v>
                </c:pt>
                <c:pt idx="1">
                  <c:v>400</c:v>
                </c:pt>
                <c:pt idx="2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A-4B0F-82EE-2DB7C1246303}"/>
            </c:ext>
          </c:extLst>
        </c:ser>
        <c:ser>
          <c:idx val="1"/>
          <c:order val="1"/>
          <c:spPr>
            <a:solidFill>
              <a:srgbClr val="40404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pivot_table!$D$35:$D$37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pivot_table!$F$35:$F$37</c:f>
              <c:numCache>
                <c:formatCode>General</c:formatCode>
                <c:ptCount val="3"/>
                <c:pt idx="0">
                  <c:v>45</c:v>
                </c:pt>
                <c:pt idx="1">
                  <c:v>53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A-4B0F-82EE-2DB7C12463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9033608"/>
        <c:axId val="1699035656"/>
      </c:barChart>
      <c:catAx>
        <c:axId val="169903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35656"/>
        <c:crosses val="autoZero"/>
        <c:auto val="1"/>
        <c:lblAlgn val="ctr"/>
        <c:lblOffset val="100"/>
        <c:noMultiLvlLbl val="0"/>
      </c:catAx>
      <c:valAx>
        <c:axId val="169903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33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80808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0000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pivot_table!$J$30</c:f>
              <c:strCache>
                <c:ptCount val="1"/>
                <c:pt idx="0">
                  <c:v>Average New User Arrival (in days)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0404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8C4B-49DC-95ED-4E320EEDF42C}"/>
              </c:ext>
            </c:extLst>
          </c:dPt>
          <c:dPt>
            <c:idx val="1"/>
            <c:invertIfNegative val="0"/>
            <c:bubble3D val="0"/>
            <c:spPr>
              <a:solidFill>
                <a:srgbClr val="40404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4B-49DC-95ED-4E320EEDF42C}"/>
              </c:ext>
            </c:extLst>
          </c:dPt>
          <c:dPt>
            <c:idx val="2"/>
            <c:invertIfNegative val="0"/>
            <c:bubble3D val="0"/>
            <c:spPr>
              <a:solidFill>
                <a:srgbClr val="40404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4B-49DC-95ED-4E320EEDF42C}"/>
              </c:ext>
            </c:extLst>
          </c:dPt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pivot_table!$H$31:$I$37</c:f>
              <c:multiLvlStrCache>
                <c:ptCount val="7"/>
                <c:lvl>
                  <c:pt idx="0">
                    <c:v>Basic</c:v>
                  </c:pt>
                  <c:pt idx="1">
                    <c:v>Enterprise</c:v>
                  </c:pt>
                  <c:pt idx="2">
                    <c:v>Pro</c:v>
                  </c:pt>
                  <c:pt idx="4">
                    <c:v>Basic</c:v>
                  </c:pt>
                  <c:pt idx="5">
                    <c:v>Enterprise</c:v>
                  </c:pt>
                  <c:pt idx="6">
                    <c:v>Pro</c:v>
                  </c:pt>
                </c:lvl>
                <c:lvl>
                  <c:pt idx="0">
                    <c:v>Active</c:v>
                  </c:pt>
                  <c:pt idx="4">
                    <c:v>Not Active</c:v>
                  </c:pt>
                </c:lvl>
              </c:multiLvlStrCache>
            </c:multiLvlStrRef>
          </c:cat>
          <c:val>
            <c:numRef>
              <c:f>pivot_table!$J$31:$J$37</c:f>
              <c:numCache>
                <c:formatCode>0</c:formatCode>
                <c:ptCount val="7"/>
                <c:pt idx="0">
                  <c:v>5.1333333333333337</c:v>
                </c:pt>
                <c:pt idx="1">
                  <c:v>3.9444444444444446</c:v>
                </c:pt>
                <c:pt idx="2">
                  <c:v>2.9230769230769229</c:v>
                </c:pt>
                <c:pt idx="4">
                  <c:v>2.9166666666666665</c:v>
                </c:pt>
                <c:pt idx="5">
                  <c:v>3</c:v>
                </c:pt>
                <c:pt idx="6">
                  <c:v>2.6111111111111112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B-49DC-95ED-4E320EEDF4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680135"/>
        <c:axId val="702808583"/>
      </c:barChart>
      <c:catAx>
        <c:axId val="57368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808583"/>
        <c:crosses val="autoZero"/>
        <c:auto val="1"/>
        <c:lblAlgn val="ctr"/>
        <c:lblOffset val="100"/>
        <c:noMultiLvlLbl val="0"/>
      </c:catAx>
      <c:valAx>
        <c:axId val="70280858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80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808080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xlsrvcd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xlsrvcdf"/><Relationship Id="rId5" Type="http://schemas.openxmlformats.org/officeDocument/2006/relationships/chart" Target="../charts/chart5.xml"/><Relationship Id="rId10" Type="http://schemas.openxmlformats.org/officeDocument/2006/relationships/image" Target="../media/image3.xlsrvcdf"/><Relationship Id="rId4" Type="http://schemas.openxmlformats.org/officeDocument/2006/relationships/chart" Target="../charts/chart4.xml"/><Relationship Id="rId9" Type="http://schemas.openxmlformats.org/officeDocument/2006/relationships/image" Target="../media/image2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0</xdr:row>
      <xdr:rowOff>0</xdr:rowOff>
    </xdr:from>
    <xdr:to>
      <xdr:col>6</xdr:col>
      <xdr:colOff>704850</xdr:colOff>
      <xdr:row>3</xdr:row>
      <xdr:rowOff>114300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194DEF6-8CF3-530C-5934-78C026B3730E}"/>
            </a:ext>
          </a:extLst>
        </xdr:cNvPr>
        <xdr:cNvSpPr/>
      </xdr:nvSpPr>
      <xdr:spPr>
        <a:xfrm>
          <a:off x="1038225" y="0"/>
          <a:ext cx="4514850" cy="6858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u="none" strike="noStrike">
              <a:solidFill>
                <a:schemeClr val="lt1"/>
              </a:solidFill>
              <a:latin typeface="Consolas" panose="020B0609020204030204" pitchFamily="49" charset="0"/>
            </a:rPr>
            <a:t>Raw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1114425</xdr:colOff>
      <xdr:row>0</xdr:row>
      <xdr:rowOff>0</xdr:rowOff>
    </xdr:from>
    <xdr:to>
      <xdr:col>9</xdr:col>
      <xdr:colOff>304800</xdr:colOff>
      <xdr:row>3</xdr:row>
      <xdr:rowOff>133350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AAF815A-B8CF-46C2-6404-296B739B92D1}"/>
            </a:ext>
          </a:extLst>
        </xdr:cNvPr>
        <xdr:cNvSpPr/>
      </xdr:nvSpPr>
      <xdr:spPr>
        <a:xfrm>
          <a:off x="1724025" y="0"/>
          <a:ext cx="10296525" cy="70485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4800" b="0" i="0" u="none" strike="noStrike">
              <a:solidFill>
                <a:schemeClr val="lt1"/>
              </a:solidFill>
              <a:latin typeface="Consolas" panose="020B0609020204030204" pitchFamily="49" charset="0"/>
            </a:rPr>
            <a:t>Working Sheet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17</xdr:row>
      <xdr:rowOff>38100</xdr:rowOff>
    </xdr:from>
    <xdr:to>
      <xdr:col>19</xdr:col>
      <xdr:colOff>85725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B0558-6562-7AAC-46C5-13DBF82BD028}"/>
            </a:ext>
            <a:ext uri="{147F2762-F138-4A5C-976F-8EAC2B608ADB}">
              <a16:predDERef xmlns:a16="http://schemas.microsoft.com/office/drawing/2014/main" pred="{15F6C957-4300-5BE1-939A-019EAE3DB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5</xdr:row>
      <xdr:rowOff>95250</xdr:rowOff>
    </xdr:from>
    <xdr:to>
      <xdr:col>6</xdr:col>
      <xdr:colOff>266700</xdr:colOff>
      <xdr:row>16</xdr:row>
      <xdr:rowOff>180975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1D4401B-EB8B-460C-90B4-E5D1F1F4AF57}"/>
            </a:ext>
            <a:ext uri="{147F2762-F138-4A5C-976F-8EAC2B608ADB}">
              <a16:predDERef xmlns:a16="http://schemas.microsoft.com/office/drawing/2014/main" pred="{798B0558-6562-7AAC-46C5-13DBF82BD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152400</xdr:colOff>
      <xdr:row>17</xdr:row>
      <xdr:rowOff>38100</xdr:rowOff>
    </xdr:from>
    <xdr:to>
      <xdr:col>14</xdr:col>
      <xdr:colOff>85725</xdr:colOff>
      <xdr:row>29</xdr:row>
      <xdr:rowOff>9525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6921E710-DC1A-4467-A7E2-C97988D286FE}"/>
            </a:ext>
            <a:ext uri="{147F2762-F138-4A5C-976F-8EAC2B608ADB}">
              <a16:predDERef xmlns:a16="http://schemas.microsoft.com/office/drawing/2014/main" pred="{61D4401B-EB8B-460C-90B4-E5D1F1F4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17</xdr:row>
      <xdr:rowOff>38100</xdr:rowOff>
    </xdr:from>
    <xdr:to>
      <xdr:col>8</xdr:col>
      <xdr:colOff>228600</xdr:colOff>
      <xdr:row>29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C573D8-B98F-B94F-EF9E-895D98CA8407}"/>
            </a:ext>
            <a:ext uri="{147F2762-F138-4A5C-976F-8EAC2B608ADB}">
              <a16:predDERef xmlns:a16="http://schemas.microsoft.com/office/drawing/2014/main" pred="{6921E710-DC1A-4467-A7E2-C97988D28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495300</xdr:colOff>
      <xdr:row>20</xdr:row>
      <xdr:rowOff>123825</xdr:rowOff>
    </xdr:from>
    <xdr:to>
      <xdr:col>17</xdr:col>
      <xdr:colOff>361950</xdr:colOff>
      <xdr:row>26</xdr:row>
      <xdr:rowOff>57150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1EA44B9-4EDC-499E-569A-C54DBEBAD7B3}"/>
            </a:ext>
            <a:ext uri="{147F2762-F138-4A5C-976F-8EAC2B608ADB}">
              <a16:predDERef xmlns:a16="http://schemas.microsoft.com/office/drawing/2014/main" pred="{57C573D8-B98F-B94F-EF9E-895D98CA8407}"/>
            </a:ext>
          </a:extLst>
        </xdr:cNvPr>
        <xdr:cNvSpPr txBox="1"/>
      </xdr:nvSpPr>
      <xdr:spPr>
        <a:xfrm>
          <a:off x="9639300" y="3933825"/>
          <a:ext cx="1085850" cy="1076325"/>
        </a:xfrm>
        <a:prstGeom prst="flowChartConnector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Franklin Gothic"/>
            </a:rPr>
            <a:t>46%</a:t>
          </a:r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19</xdr:col>
      <xdr:colOff>180975</xdr:colOff>
      <xdr:row>5</xdr:row>
      <xdr:rowOff>66675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E89406C9-81D6-9213-FBBA-DFA8A9BD7B0B}"/>
            </a:ext>
            <a:ext uri="{147F2762-F138-4A5C-976F-8EAC2B608ADB}">
              <a16:predDERef xmlns:a16="http://schemas.microsoft.com/office/drawing/2014/main" pred="{51EA44B9-4EDC-499E-569A-C54DBEBAD7B3}"/>
            </a:ext>
          </a:extLst>
        </xdr:cNvPr>
        <xdr:cNvSpPr/>
      </xdr:nvSpPr>
      <xdr:spPr>
        <a:xfrm>
          <a:off x="0" y="28575"/>
          <a:ext cx="11799571" cy="100965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CHURN ANALYSIS DASHBOARD</a:t>
          </a:r>
        </a:p>
      </xdr:txBody>
    </xdr:sp>
    <xdr:clientData/>
  </xdr:twoCellAnchor>
  <xdr:twoCellAnchor>
    <xdr:from>
      <xdr:col>0</xdr:col>
      <xdr:colOff>19050</xdr:colOff>
      <xdr:row>5</xdr:row>
      <xdr:rowOff>95250</xdr:rowOff>
    </xdr:from>
    <xdr:to>
      <xdr:col>6</xdr:col>
      <xdr:colOff>266700</xdr:colOff>
      <xdr:row>16</xdr:row>
      <xdr:rowOff>180975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E2EB12F1-A723-40FC-A26B-20596D061393}"/>
            </a:ext>
            <a:ext uri="{147F2762-F138-4A5C-976F-8EAC2B608ADB}">
              <a16:predDERef xmlns:a16="http://schemas.microsoft.com/office/drawing/2014/main" pred="{D5F94D00-E987-405A-B5AA-43B691231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17</xdr:row>
      <xdr:rowOff>38100</xdr:rowOff>
    </xdr:from>
    <xdr:to>
      <xdr:col>9</xdr:col>
      <xdr:colOff>95250</xdr:colOff>
      <xdr:row>29</xdr:row>
      <xdr:rowOff>9525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34988CDF-A154-4372-BE41-2435DE737858}"/>
            </a:ext>
            <a:ext uri="{147F2762-F138-4A5C-976F-8EAC2B608ADB}">
              <a16:predDERef xmlns:a16="http://schemas.microsoft.com/office/drawing/2014/main" pred="{E2EB12F1-A723-40FC-A26B-20596D061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323850</xdr:colOff>
      <xdr:row>5</xdr:row>
      <xdr:rowOff>95250</xdr:rowOff>
    </xdr:from>
    <xdr:to>
      <xdr:col>12</xdr:col>
      <xdr:colOff>133350</xdr:colOff>
      <xdr:row>16</xdr:row>
      <xdr:rowOff>171450</xdr:rowOff>
    </xdr:to>
    <xdr:graphicFrame macro="">
      <xdr:nvGraphicFramePr>
        <xdr:cNvPr id="16" name="Chart 7">
          <a:extLst>
            <a:ext uri="{FF2B5EF4-FFF2-40B4-BE49-F238E27FC236}">
              <a16:creationId xmlns:a16="http://schemas.microsoft.com/office/drawing/2014/main" id="{AE665E9A-C2A9-48B6-81C5-DB198BC57C7D}"/>
            </a:ext>
            <a:ext uri="{147F2762-F138-4A5C-976F-8EAC2B608ADB}">
              <a16:predDERef xmlns:a16="http://schemas.microsoft.com/office/drawing/2014/main" pred="{34988CDF-A154-4372-BE41-2435DE737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590550</xdr:colOff>
      <xdr:row>20</xdr:row>
      <xdr:rowOff>180975</xdr:rowOff>
    </xdr:from>
    <xdr:to>
      <xdr:col>12</xdr:col>
      <xdr:colOff>323850</xdr:colOff>
      <xdr:row>25</xdr:row>
      <xdr:rowOff>180975</xdr:rowOff>
    </xdr:to>
    <xdr:sp macro="" textlink="">
      <xdr:nvSpPr>
        <xdr:cNvPr id="18" name="TextBox 9">
          <a:extLst>
            <a:ext uri="{FF2B5EF4-FFF2-40B4-BE49-F238E27FC236}">
              <a16:creationId xmlns:a16="http://schemas.microsoft.com/office/drawing/2014/main" id="{003D8012-EB6E-4EA3-9175-43D5CDEB39DC}"/>
            </a:ext>
            <a:ext uri="{147F2762-F138-4A5C-976F-8EAC2B608ADB}">
              <a16:predDERef xmlns:a16="http://schemas.microsoft.com/office/drawing/2014/main" pred="{AE665E9A-C2A9-48B6-81C5-DB198BC57C7D}"/>
            </a:ext>
          </a:extLst>
        </xdr:cNvPr>
        <xdr:cNvSpPr txBox="1"/>
      </xdr:nvSpPr>
      <xdr:spPr>
        <a:xfrm>
          <a:off x="6686550" y="3990975"/>
          <a:ext cx="952500" cy="952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Franklin Gothic"/>
            </a:rPr>
            <a:t>54%</a:t>
          </a:r>
        </a:p>
      </xdr:txBody>
    </xdr:sp>
    <xdr:clientData/>
  </xdr:twoCellAnchor>
  <xdr:twoCellAnchor>
    <xdr:from>
      <xdr:col>12</xdr:col>
      <xdr:colOff>200025</xdr:colOff>
      <xdr:row>5</xdr:row>
      <xdr:rowOff>114300</xdr:rowOff>
    </xdr:from>
    <xdr:to>
      <xdr:col>19</xdr:col>
      <xdr:colOff>66675</xdr:colOff>
      <xdr:row>16</xdr:row>
      <xdr:rowOff>180975</xdr:rowOff>
    </xdr:to>
    <xdr:sp macro="" textlink="">
      <xdr:nvSpPr>
        <xdr:cNvPr id="21" name="Round Single Corner Rectangle 20">
          <a:extLst>
            <a:ext uri="{FF2B5EF4-FFF2-40B4-BE49-F238E27FC236}">
              <a16:creationId xmlns:a16="http://schemas.microsoft.com/office/drawing/2014/main" id="{2B1B1D15-6CD6-219D-A8EE-5F48C7D46D80}"/>
            </a:ext>
            <a:ext uri="{147F2762-F138-4A5C-976F-8EAC2B608ADB}">
              <a16:predDERef xmlns:a16="http://schemas.microsoft.com/office/drawing/2014/main" pred="{003D8012-EB6E-4EA3-9175-43D5CDEB39DC}"/>
            </a:ext>
          </a:extLst>
        </xdr:cNvPr>
        <xdr:cNvSpPr/>
      </xdr:nvSpPr>
      <xdr:spPr>
        <a:xfrm>
          <a:off x="7515225" y="1066800"/>
          <a:ext cx="4133850" cy="2162175"/>
        </a:xfrm>
        <a:prstGeom prst="round1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12</xdr:col>
      <xdr:colOff>295275</xdr:colOff>
      <xdr:row>6</xdr:row>
      <xdr:rowOff>19050</xdr:rowOff>
    </xdr:from>
    <xdr:to>
      <xdr:col>14</xdr:col>
      <xdr:colOff>47625</xdr:colOff>
      <xdr:row>11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89DA71E-1DB7-E6B2-5BEC-4C8FB20E00FD}"/>
            </a:ext>
            <a:ext uri="{147F2762-F138-4A5C-976F-8EAC2B608ADB}">
              <a16:predDERef xmlns:a16="http://schemas.microsoft.com/office/drawing/2014/main" pred="{2B1B1D15-6CD6-219D-A8EE-5F48C7D46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10475" y="1162050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14</xdr:col>
      <xdr:colOff>371475</xdr:colOff>
      <xdr:row>6</xdr:row>
      <xdr:rowOff>28575</xdr:rowOff>
    </xdr:from>
    <xdr:to>
      <xdr:col>16</xdr:col>
      <xdr:colOff>152400</xdr:colOff>
      <xdr:row>11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EAE585F-9678-4708-1D58-C0E677BB03DF}"/>
            </a:ext>
            <a:ext uri="{147F2762-F138-4A5C-976F-8EAC2B608ADB}">
              <a16:predDERef xmlns:a16="http://schemas.microsoft.com/office/drawing/2014/main" pred="{F89DA71E-1DB7-E6B2-5BEC-4C8FB20E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05875" y="1171575"/>
          <a:ext cx="1000125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11</xdr:row>
      <xdr:rowOff>114300</xdr:rowOff>
    </xdr:from>
    <xdr:to>
      <xdr:col>14</xdr:col>
      <xdr:colOff>28575</xdr:colOff>
      <xdr:row>16</xdr:row>
      <xdr:rowOff>123825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C1702FA-B7E4-BC36-C7F4-0E94ECAD6F21}"/>
            </a:ext>
            <a:ext uri="{147F2762-F138-4A5C-976F-8EAC2B608ADB}">
              <a16:predDERef xmlns:a16="http://schemas.microsoft.com/office/drawing/2014/main" pred="{3B8E3642-28E9-9010-8DF0-3526BF1B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0" y="2209800"/>
          <a:ext cx="942975" cy="962025"/>
        </a:xfrm>
        <a:prstGeom prst="rect">
          <a:avLst/>
        </a:prstGeom>
      </xdr:spPr>
    </xdr:pic>
    <xdr:clientData/>
  </xdr:twoCellAnchor>
  <xdr:twoCellAnchor>
    <xdr:from>
      <xdr:col>14</xdr:col>
      <xdr:colOff>390525</xdr:colOff>
      <xdr:row>12</xdr:row>
      <xdr:rowOff>104775</xdr:rowOff>
    </xdr:from>
    <xdr:to>
      <xdr:col>18</xdr:col>
      <xdr:colOff>342900</xdr:colOff>
      <xdr:row>15</xdr:row>
      <xdr:rowOff>171450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8D4E6D8-055A-BB17-6B6E-FF4CBE7DE4D0}"/>
            </a:ext>
            <a:ext uri="{147F2762-F138-4A5C-976F-8EAC2B608ADB}">
              <a16:predDERef xmlns:a16="http://schemas.microsoft.com/office/drawing/2014/main" pred="{8C1702FA-B7E4-BC36-C7F4-0E94ECAD6F21}"/>
            </a:ext>
          </a:extLst>
        </xdr:cNvPr>
        <xdr:cNvSpPr txBox="1"/>
      </xdr:nvSpPr>
      <xdr:spPr>
        <a:xfrm>
          <a:off x="8924925" y="2390775"/>
          <a:ext cx="239077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ctr"/>
        <a:lstStyle/>
        <a:p>
          <a:pPr marL="0" indent="0" algn="ctr"/>
          <a:r>
            <a:rPr lang="en-US" sz="2000" b="0" i="0" u="none" strike="noStrike">
              <a:solidFill>
                <a:srgbClr val="000000"/>
              </a:solidFill>
              <a:latin typeface="Franklin Gothic"/>
            </a:rPr>
            <a:t>LINKS TO SHEETS</a:t>
          </a:r>
        </a:p>
      </xdr:txBody>
    </xdr:sp>
    <xdr:clientData/>
  </xdr:twoCellAnchor>
  <xdr:twoCellAnchor>
    <xdr:from>
      <xdr:col>16</xdr:col>
      <xdr:colOff>476250</xdr:colOff>
      <xdr:row>6</xdr:row>
      <xdr:rowOff>0</xdr:rowOff>
    </xdr:from>
    <xdr:to>
      <xdr:col>18</xdr:col>
      <xdr:colOff>352425</xdr:colOff>
      <xdr:row>11</xdr:row>
      <xdr:rowOff>66675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F126E76-3026-24C4-DBA2-F3414A0E5317}"/>
            </a:ext>
            <a:ext uri="{147F2762-F138-4A5C-976F-8EAC2B608ADB}">
              <a16:predDERef xmlns:a16="http://schemas.microsoft.com/office/drawing/2014/main" pred="{58D4E6D8-055A-BB17-6B6E-FF4CBE7DE4D0}"/>
            </a:ext>
          </a:extLst>
        </xdr:cNvPr>
        <xdr:cNvSpPr/>
      </xdr:nvSpPr>
      <xdr:spPr>
        <a:xfrm>
          <a:off x="10229850" y="1143000"/>
          <a:ext cx="1095375" cy="1019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16</xdr:col>
      <xdr:colOff>523875</xdr:colOff>
      <xdr:row>6</xdr:row>
      <xdr:rowOff>19050</xdr:rowOff>
    </xdr:from>
    <xdr:to>
      <xdr:col>18</xdr:col>
      <xdr:colOff>304800</xdr:colOff>
      <xdr:row>11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E3FC72-9013-FB02-F08E-E5307CDF2961}"/>
            </a:ext>
            <a:ext uri="{147F2762-F138-4A5C-976F-8EAC2B608ADB}">
              <a16:predDERef xmlns:a16="http://schemas.microsoft.com/office/drawing/2014/main" pred="{2F126E76-3026-24C4-DBA2-F3414A0E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77475" y="1162050"/>
          <a:ext cx="1000125" cy="1028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9.524198611114" createdVersion="8" refreshedVersion="8" minRefreshableVersion="3" recordCount="100" xr:uid="{582C4C58-31EC-4E9D-A526-312912037FA7}">
  <cacheSource type="worksheet">
    <worksheetSource name="Table13"/>
  </cacheSource>
  <cacheFields count="9">
    <cacheField name="Customer_Id" numFmtId="0">
      <sharedItems/>
    </cacheField>
    <cacheField name="Plan" numFmtId="49">
      <sharedItems count="3">
        <s v="Enterprise"/>
        <s v="Pro"/>
        <s v="Basic"/>
      </sharedItems>
    </cacheField>
    <cacheField name="Signup_Date" numFmtId="14">
      <sharedItems containsSemiMixedTypes="0" containsNonDate="0" containsDate="1" containsString="0" minDate="2023-01-13T00:00:00" maxDate="2023-12-20T00:00:00"/>
    </cacheField>
    <cacheField name="New_User_Arrival (in days)" numFmtId="1">
      <sharedItems containsSemiMixedTypes="0" containsString="0" containsNumber="1" containsInteger="1" minValue="0" maxValue="19"/>
    </cacheField>
    <cacheField name="Churned" numFmtId="49">
      <sharedItems/>
    </cacheField>
    <cacheField name="Churn_Date" numFmtId="14">
      <sharedItems containsNonDate="0" containsDate="1" containsString="0" containsBlank="1" minDate="2023-04-11T00:00:00" maxDate="2024-12-31T00:00:00"/>
    </cacheField>
    <cacheField name="Time_to_Churn (days)" numFmtId="1">
      <sharedItems containsMixedTypes="1" containsNumber="1" containsInteger="1" minValue="45" maxValue="400"/>
    </cacheField>
    <cacheField name="Plan_Status" numFmtId="49">
      <sharedItems count="2">
        <s v="Active"/>
        <s v="Not Active"/>
      </sharedItems>
    </cacheField>
    <cacheField name="Monthly_Revenue (in $)" numFmtId="1">
      <sharedItems containsSemiMixedTypes="0" containsString="0" containsNumber="1" containsInteger="1" minValue="19" maxValue="99"/>
    </cacheField>
  </cacheFields>
  <extLst>
    <ext xmlns:x14="http://schemas.microsoft.com/office/spreadsheetml/2009/9/main" uri="{725AE2AE-9491-48be-B2B4-4EB974FC3084}">
      <x14:pivotCacheDefinition pivotCacheId="16440349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021"/>
    <x v="0"/>
    <d v="2023-12-19T00:00:00"/>
    <n v="5"/>
    <s v="No"/>
    <m/>
    <s v=""/>
    <x v="0"/>
    <n v="99"/>
  </r>
  <r>
    <s v="C006"/>
    <x v="1"/>
    <d v="2023-12-14T00:00:00"/>
    <n v="3"/>
    <s v="No"/>
    <m/>
    <s v=""/>
    <x v="0"/>
    <n v="29"/>
  </r>
  <r>
    <s v="C055"/>
    <x v="0"/>
    <d v="2023-12-11T00:00:00"/>
    <n v="13"/>
    <s v="Yes"/>
    <d v="2024-02-04T00:00:00"/>
    <n v="55"/>
    <x v="1"/>
    <n v="99"/>
  </r>
  <r>
    <s v="C090"/>
    <x v="1"/>
    <d v="2023-11-28T00:00:00"/>
    <n v="1"/>
    <s v="Yes"/>
    <d v="2024-12-30T00:00:00"/>
    <n v="398"/>
    <x v="1"/>
    <n v="49"/>
  </r>
  <r>
    <s v="C066"/>
    <x v="0"/>
    <d v="2023-11-27T00:00:00"/>
    <n v="0"/>
    <s v="No"/>
    <m/>
    <s v=""/>
    <x v="0"/>
    <n v="19"/>
  </r>
  <r>
    <s v="C084"/>
    <x v="2"/>
    <d v="2023-11-27T00:00:00"/>
    <n v="3"/>
    <s v="No"/>
    <m/>
    <s v=""/>
    <x v="0"/>
    <n v="19"/>
  </r>
  <r>
    <s v="C093"/>
    <x v="0"/>
    <d v="2023-11-24T00:00:00"/>
    <n v="3"/>
    <s v="Yes"/>
    <d v="2024-11-03T00:00:00"/>
    <n v="345"/>
    <x v="1"/>
    <n v="49"/>
  </r>
  <r>
    <s v="C037"/>
    <x v="1"/>
    <d v="2023-11-21T00:00:00"/>
    <n v="0"/>
    <s v="No"/>
    <m/>
    <s v=""/>
    <x v="0"/>
    <n v="99"/>
  </r>
  <r>
    <s v="C069"/>
    <x v="0"/>
    <d v="2023-11-21T00:00:00"/>
    <n v="3"/>
    <s v="No"/>
    <m/>
    <s v=""/>
    <x v="0"/>
    <n v="99"/>
  </r>
  <r>
    <s v="C026"/>
    <x v="0"/>
    <d v="2023-11-18T00:00:00"/>
    <n v="4"/>
    <s v="No"/>
    <m/>
    <s v=""/>
    <x v="0"/>
    <n v="49"/>
  </r>
  <r>
    <s v="C024"/>
    <x v="1"/>
    <d v="2023-11-14T00:00:00"/>
    <n v="0"/>
    <s v="Yes"/>
    <d v="2024-06-28T00:00:00"/>
    <n v="227"/>
    <x v="1"/>
    <n v="99"/>
  </r>
  <r>
    <s v="C091"/>
    <x v="1"/>
    <d v="2023-11-14T00:00:00"/>
    <n v="3"/>
    <s v="No"/>
    <m/>
    <s v=""/>
    <x v="0"/>
    <n v="49"/>
  </r>
  <r>
    <s v="C017"/>
    <x v="2"/>
    <d v="2023-11-11T00:00:00"/>
    <n v="7"/>
    <s v="Yes"/>
    <d v="2024-04-06T00:00:00"/>
    <n v="147"/>
    <x v="1"/>
    <n v="49"/>
  </r>
  <r>
    <s v="C001"/>
    <x v="2"/>
    <d v="2023-11-04T00:00:00"/>
    <n v="1"/>
    <s v="Yes"/>
    <d v="2024-04-22T00:00:00"/>
    <n v="170"/>
    <x v="1"/>
    <n v="29"/>
  </r>
  <r>
    <s v="C097"/>
    <x v="0"/>
    <d v="2023-11-03T00:00:00"/>
    <n v="6"/>
    <s v="No"/>
    <m/>
    <s v=""/>
    <x v="0"/>
    <n v="49"/>
  </r>
  <r>
    <s v="C100"/>
    <x v="1"/>
    <d v="2023-10-28T00:00:00"/>
    <n v="7"/>
    <s v="Yes"/>
    <d v="2024-07-17T00:00:00"/>
    <n v="263"/>
    <x v="1"/>
    <n v="29"/>
  </r>
  <r>
    <s v="C015"/>
    <x v="0"/>
    <d v="2023-10-21T00:00:00"/>
    <n v="3"/>
    <s v="Yes"/>
    <d v="2024-08-19T00:00:00"/>
    <n v="303"/>
    <x v="1"/>
    <n v="29"/>
  </r>
  <r>
    <s v="C039"/>
    <x v="2"/>
    <d v="2023-10-18T00:00:00"/>
    <n v="4"/>
    <s v="Yes"/>
    <d v="2024-09-13T00:00:00"/>
    <n v="331"/>
    <x v="1"/>
    <n v="19"/>
  </r>
  <r>
    <s v="C003"/>
    <x v="2"/>
    <d v="2023-10-14T00:00:00"/>
    <n v="0"/>
    <s v="Yes"/>
    <d v="2023-11-28T00:00:00"/>
    <n v="45"/>
    <x v="1"/>
    <n v="29"/>
  </r>
  <r>
    <s v="C086"/>
    <x v="0"/>
    <d v="2023-10-14T00:00:00"/>
    <n v="3"/>
    <s v="No"/>
    <m/>
    <s v=""/>
    <x v="0"/>
    <n v="49"/>
  </r>
  <r>
    <s v="C031"/>
    <x v="2"/>
    <d v="2023-10-11T00:00:00"/>
    <n v="4"/>
    <s v="No"/>
    <m/>
    <s v=""/>
    <x v="0"/>
    <n v="19"/>
  </r>
  <r>
    <s v="C011"/>
    <x v="0"/>
    <d v="2023-10-07T00:00:00"/>
    <n v="4"/>
    <s v="Yes"/>
    <d v="2023-11-29T00:00:00"/>
    <n v="53"/>
    <x v="1"/>
    <n v="29"/>
  </r>
  <r>
    <s v="C059"/>
    <x v="0"/>
    <d v="2023-10-03T00:00:00"/>
    <n v="5"/>
    <s v="No"/>
    <m/>
    <s v=""/>
    <x v="0"/>
    <n v="49"/>
  </r>
  <r>
    <s v="C056"/>
    <x v="0"/>
    <d v="2023-09-28T00:00:00"/>
    <n v="0"/>
    <s v="Yes"/>
    <d v="2023-11-26T00:00:00"/>
    <n v="59"/>
    <x v="1"/>
    <n v="19"/>
  </r>
  <r>
    <s v="C077"/>
    <x v="0"/>
    <d v="2023-09-28T00:00:00"/>
    <n v="19"/>
    <s v="No"/>
    <m/>
    <s v=""/>
    <x v="0"/>
    <n v="29"/>
  </r>
  <r>
    <s v="C025"/>
    <x v="0"/>
    <d v="2023-09-09T00:00:00"/>
    <n v="3"/>
    <s v="Yes"/>
    <d v="2024-09-21T00:00:00"/>
    <n v="378"/>
    <x v="1"/>
    <n v="19"/>
  </r>
  <r>
    <s v="C035"/>
    <x v="0"/>
    <d v="2023-09-06T00:00:00"/>
    <n v="1"/>
    <s v="No"/>
    <m/>
    <s v=""/>
    <x v="0"/>
    <n v="99"/>
  </r>
  <r>
    <s v="C092"/>
    <x v="0"/>
    <d v="2023-09-05T00:00:00"/>
    <n v="1"/>
    <s v="Yes"/>
    <d v="2024-05-07T00:00:00"/>
    <n v="245"/>
    <x v="1"/>
    <n v="99"/>
  </r>
  <r>
    <s v="C029"/>
    <x v="0"/>
    <d v="2023-09-04T00:00:00"/>
    <n v="2"/>
    <s v="No"/>
    <m/>
    <s v=""/>
    <x v="0"/>
    <n v="29"/>
  </r>
  <r>
    <s v="C074"/>
    <x v="0"/>
    <d v="2023-09-02T00:00:00"/>
    <n v="1"/>
    <s v="No"/>
    <m/>
    <s v=""/>
    <x v="0"/>
    <n v="29"/>
  </r>
  <r>
    <s v="C073"/>
    <x v="0"/>
    <d v="2023-09-01T00:00:00"/>
    <n v="5"/>
    <s v="Yes"/>
    <d v="2023-11-08T00:00:00"/>
    <n v="68"/>
    <x v="1"/>
    <n v="29"/>
  </r>
  <r>
    <s v="C065"/>
    <x v="0"/>
    <d v="2023-08-27T00:00:00"/>
    <n v="1"/>
    <s v="No"/>
    <m/>
    <s v=""/>
    <x v="0"/>
    <n v="19"/>
  </r>
  <r>
    <s v="C049"/>
    <x v="0"/>
    <d v="2023-08-26T00:00:00"/>
    <n v="4"/>
    <s v="Yes"/>
    <d v="2023-10-20T00:00:00"/>
    <n v="55"/>
    <x v="1"/>
    <n v="19"/>
  </r>
  <r>
    <s v="C096"/>
    <x v="1"/>
    <d v="2023-08-22T00:00:00"/>
    <n v="1"/>
    <s v="Yes"/>
    <d v="2024-06-08T00:00:00"/>
    <n v="291"/>
    <x v="1"/>
    <n v="29"/>
  </r>
  <r>
    <s v="C013"/>
    <x v="2"/>
    <d v="2023-08-21T00:00:00"/>
    <n v="14"/>
    <s v="No"/>
    <m/>
    <s v=""/>
    <x v="0"/>
    <n v="49"/>
  </r>
  <r>
    <s v="C051"/>
    <x v="2"/>
    <d v="2023-08-07T00:00:00"/>
    <n v="12"/>
    <s v="No"/>
    <m/>
    <s v=""/>
    <x v="0"/>
    <n v="29"/>
  </r>
  <r>
    <s v="C095"/>
    <x v="1"/>
    <d v="2023-07-26T00:00:00"/>
    <n v="6"/>
    <s v="No"/>
    <m/>
    <s v=""/>
    <x v="0"/>
    <n v="99"/>
  </r>
  <r>
    <s v="C087"/>
    <x v="0"/>
    <d v="2023-07-20T00:00:00"/>
    <n v="2"/>
    <s v="Yes"/>
    <d v="2024-03-03T00:00:00"/>
    <n v="227"/>
    <x v="1"/>
    <n v="29"/>
  </r>
  <r>
    <s v="C094"/>
    <x v="1"/>
    <d v="2023-07-18T00:00:00"/>
    <n v="3"/>
    <s v="Yes"/>
    <d v="2024-01-19T00:00:00"/>
    <n v="185"/>
    <x v="1"/>
    <n v="29"/>
  </r>
  <r>
    <s v="C045"/>
    <x v="0"/>
    <d v="2023-07-15T00:00:00"/>
    <n v="6"/>
    <s v="Yes"/>
    <d v="2024-07-23T00:00:00"/>
    <n v="374"/>
    <x v="1"/>
    <n v="19"/>
  </r>
  <r>
    <s v="C018"/>
    <x v="0"/>
    <d v="2023-07-09T00:00:00"/>
    <n v="4"/>
    <s v="Yes"/>
    <d v="2023-11-24T00:00:00"/>
    <n v="138"/>
    <x v="1"/>
    <n v="49"/>
  </r>
  <r>
    <s v="C075"/>
    <x v="1"/>
    <d v="2023-07-05T00:00:00"/>
    <n v="0"/>
    <s v="Yes"/>
    <d v="2024-01-08T00:00:00"/>
    <n v="187"/>
    <x v="1"/>
    <n v="19"/>
  </r>
  <r>
    <s v="C061"/>
    <x v="1"/>
    <d v="2023-07-05T00:00:00"/>
    <n v="1"/>
    <s v="No"/>
    <m/>
    <s v=""/>
    <x v="0"/>
    <n v="49"/>
  </r>
  <r>
    <s v="C008"/>
    <x v="1"/>
    <d v="2023-07-04T00:00:00"/>
    <n v="1"/>
    <s v="No"/>
    <m/>
    <s v=""/>
    <x v="0"/>
    <n v="49"/>
  </r>
  <r>
    <s v="C010"/>
    <x v="0"/>
    <d v="2023-07-03T00:00:00"/>
    <n v="2"/>
    <s v="No"/>
    <m/>
    <s v=""/>
    <x v="0"/>
    <n v="49"/>
  </r>
  <r>
    <s v="C052"/>
    <x v="1"/>
    <d v="2023-07-01T00:00:00"/>
    <n v="4"/>
    <s v="No"/>
    <m/>
    <s v=""/>
    <x v="0"/>
    <n v="99"/>
  </r>
  <r>
    <s v="C032"/>
    <x v="2"/>
    <d v="2023-06-27T00:00:00"/>
    <n v="13"/>
    <s v="No"/>
    <m/>
    <s v=""/>
    <x v="0"/>
    <n v="19"/>
  </r>
  <r>
    <s v="C089"/>
    <x v="1"/>
    <d v="2023-06-14T00:00:00"/>
    <n v="5"/>
    <s v="Yes"/>
    <d v="2024-06-18T00:00:00"/>
    <n v="370"/>
    <x v="1"/>
    <n v="49"/>
  </r>
  <r>
    <s v="C083"/>
    <x v="1"/>
    <d v="2023-06-09T00:00:00"/>
    <n v="1"/>
    <s v="Yes"/>
    <d v="2023-11-28T00:00:00"/>
    <n v="172"/>
    <x v="1"/>
    <n v="99"/>
  </r>
  <r>
    <s v="C022"/>
    <x v="1"/>
    <d v="2023-06-08T00:00:00"/>
    <n v="1"/>
    <s v="Yes"/>
    <d v="2024-03-24T00:00:00"/>
    <n v="290"/>
    <x v="1"/>
    <n v="19"/>
  </r>
  <r>
    <s v="C076"/>
    <x v="2"/>
    <d v="2023-06-07T00:00:00"/>
    <n v="0"/>
    <s v="Yes"/>
    <d v="2024-06-12T00:00:00"/>
    <n v="371"/>
    <x v="1"/>
    <n v="49"/>
  </r>
  <r>
    <s v="C014"/>
    <x v="0"/>
    <d v="2023-06-07T00:00:00"/>
    <n v="4"/>
    <s v="No"/>
    <m/>
    <s v=""/>
    <x v="0"/>
    <n v="19"/>
  </r>
  <r>
    <s v="C041"/>
    <x v="0"/>
    <d v="2023-06-03T00:00:00"/>
    <n v="0"/>
    <s v="Yes"/>
    <d v="2023-11-22T00:00:00"/>
    <n v="172"/>
    <x v="1"/>
    <n v="99"/>
  </r>
  <r>
    <s v="C064"/>
    <x v="1"/>
    <d v="2023-06-03T00:00:00"/>
    <n v="6"/>
    <s v="Yes"/>
    <d v="2024-01-08T00:00:00"/>
    <n v="219"/>
    <x v="1"/>
    <n v="29"/>
  </r>
  <r>
    <s v="C070"/>
    <x v="0"/>
    <d v="2023-05-28T00:00:00"/>
    <n v="14"/>
    <s v="Yes"/>
    <d v="2023-08-13T00:00:00"/>
    <n v="77"/>
    <x v="1"/>
    <n v="99"/>
  </r>
  <r>
    <s v="C053"/>
    <x v="2"/>
    <d v="2023-05-14T00:00:00"/>
    <n v="4"/>
    <s v="No"/>
    <m/>
    <s v=""/>
    <x v="0"/>
    <n v="29"/>
  </r>
  <r>
    <s v="C068"/>
    <x v="1"/>
    <d v="2023-05-10T00:00:00"/>
    <n v="3"/>
    <s v="Yes"/>
    <d v="2024-06-10T00:00:00"/>
    <n v="397"/>
    <x v="1"/>
    <n v="29"/>
  </r>
  <r>
    <s v="C054"/>
    <x v="0"/>
    <d v="2023-05-07T00:00:00"/>
    <n v="0"/>
    <s v="Yes"/>
    <d v="2024-03-28T00:00:00"/>
    <n v="326"/>
    <x v="1"/>
    <n v="19"/>
  </r>
  <r>
    <s v="C060"/>
    <x v="2"/>
    <d v="2023-05-07T00:00:00"/>
    <n v="1"/>
    <s v="No"/>
    <m/>
    <s v=""/>
    <x v="0"/>
    <n v="49"/>
  </r>
  <r>
    <s v="C080"/>
    <x v="2"/>
    <d v="2023-05-06T00:00:00"/>
    <n v="0"/>
    <s v="Yes"/>
    <d v="2023-12-17T00:00:00"/>
    <n v="225"/>
    <x v="1"/>
    <n v="99"/>
  </r>
  <r>
    <s v="C085"/>
    <x v="2"/>
    <d v="2023-05-06T00:00:00"/>
    <n v="3"/>
    <s v="No"/>
    <m/>
    <s v=""/>
    <x v="0"/>
    <n v="19"/>
  </r>
  <r>
    <s v="C012"/>
    <x v="1"/>
    <d v="2023-05-03T00:00:00"/>
    <n v="1"/>
    <s v="Yes"/>
    <d v="2023-07-23T00:00:00"/>
    <n v="81"/>
    <x v="1"/>
    <n v="49"/>
  </r>
  <r>
    <s v="C071"/>
    <x v="2"/>
    <d v="2023-05-02T00:00:00"/>
    <n v="0"/>
    <s v="Yes"/>
    <d v="2023-11-18T00:00:00"/>
    <n v="200"/>
    <x v="1"/>
    <n v="49"/>
  </r>
  <r>
    <s v="C088"/>
    <x v="2"/>
    <d v="2023-05-02T00:00:00"/>
    <n v="4"/>
    <s v="No"/>
    <m/>
    <s v=""/>
    <x v="0"/>
    <n v="29"/>
  </r>
  <r>
    <s v="C078"/>
    <x v="1"/>
    <d v="2023-04-28T00:00:00"/>
    <n v="2"/>
    <s v="Yes"/>
    <d v="2023-08-26T00:00:00"/>
    <n v="120"/>
    <x v="1"/>
    <n v="19"/>
  </r>
  <r>
    <s v="C043"/>
    <x v="1"/>
    <d v="2023-04-26T00:00:00"/>
    <n v="1"/>
    <s v="No"/>
    <m/>
    <s v=""/>
    <x v="0"/>
    <n v="29"/>
  </r>
  <r>
    <s v="C007"/>
    <x v="2"/>
    <d v="2023-04-25T00:00:00"/>
    <n v="4"/>
    <s v="No"/>
    <m/>
    <s v=""/>
    <x v="0"/>
    <n v="19"/>
  </r>
  <r>
    <s v="C019"/>
    <x v="1"/>
    <d v="2023-04-21T00:00:00"/>
    <n v="2"/>
    <s v="No"/>
    <m/>
    <s v=""/>
    <x v="0"/>
    <n v="99"/>
  </r>
  <r>
    <s v="C033"/>
    <x v="0"/>
    <d v="2023-04-19T00:00:00"/>
    <n v="1"/>
    <s v="Yes"/>
    <d v="2023-07-01T00:00:00"/>
    <n v="73"/>
    <x v="1"/>
    <n v="99"/>
  </r>
  <r>
    <s v="C036"/>
    <x v="1"/>
    <d v="2023-04-18T00:00:00"/>
    <n v="0"/>
    <s v="Yes"/>
    <d v="2024-05-17T00:00:00"/>
    <n v="395"/>
    <x v="1"/>
    <n v="99"/>
  </r>
  <r>
    <s v="C042"/>
    <x v="0"/>
    <d v="2023-04-18T00:00:00"/>
    <n v="1"/>
    <s v="Yes"/>
    <d v="2024-05-22T00:00:00"/>
    <n v="400"/>
    <x v="1"/>
    <n v="99"/>
  </r>
  <r>
    <s v="C004"/>
    <x v="2"/>
    <d v="2023-04-17T00:00:00"/>
    <n v="2"/>
    <s v="Yes"/>
    <d v="2024-02-28T00:00:00"/>
    <n v="317"/>
    <x v="1"/>
    <n v="99"/>
  </r>
  <r>
    <s v="C005"/>
    <x v="2"/>
    <d v="2023-04-15T00:00:00"/>
    <n v="7"/>
    <s v="No"/>
    <m/>
    <s v=""/>
    <x v="0"/>
    <n v="29"/>
  </r>
  <r>
    <s v="C082"/>
    <x v="2"/>
    <d v="2023-04-08T00:00:00"/>
    <n v="1"/>
    <s v="Yes"/>
    <d v="2024-04-09T00:00:00"/>
    <n v="367"/>
    <x v="1"/>
    <n v="99"/>
  </r>
  <r>
    <s v="C047"/>
    <x v="2"/>
    <d v="2023-04-07T00:00:00"/>
    <n v="0"/>
    <s v="No"/>
    <m/>
    <s v=""/>
    <x v="0"/>
    <n v="99"/>
  </r>
  <r>
    <s v="C081"/>
    <x v="1"/>
    <d v="2023-04-07T00:00:00"/>
    <n v="2"/>
    <s v="No"/>
    <m/>
    <s v=""/>
    <x v="0"/>
    <n v="49"/>
  </r>
  <r>
    <s v="C099"/>
    <x v="2"/>
    <d v="2023-04-05T00:00:00"/>
    <n v="12"/>
    <s v="Yes"/>
    <d v="2023-05-28T00:00:00"/>
    <n v="53"/>
    <x v="1"/>
    <n v="99"/>
  </r>
  <r>
    <s v="C002"/>
    <x v="0"/>
    <d v="2023-03-24T00:00:00"/>
    <n v="0"/>
    <s v="Yes"/>
    <d v="2024-04-03T00:00:00"/>
    <n v="376"/>
    <x v="1"/>
    <n v="19"/>
  </r>
  <r>
    <s v="C072"/>
    <x v="0"/>
    <d v="2023-03-24T00:00:00"/>
    <n v="0"/>
    <s v="No"/>
    <m/>
    <s v=""/>
    <x v="0"/>
    <n v="99"/>
  </r>
  <r>
    <s v="C079"/>
    <x v="1"/>
    <d v="2023-03-24T00:00:00"/>
    <n v="9"/>
    <s v="No"/>
    <m/>
    <s v=""/>
    <x v="0"/>
    <n v="29"/>
  </r>
  <r>
    <s v="C016"/>
    <x v="1"/>
    <d v="2023-03-15T00:00:00"/>
    <n v="3"/>
    <s v="No"/>
    <m/>
    <s v=""/>
    <x v="0"/>
    <n v="29"/>
  </r>
  <r>
    <s v="C030"/>
    <x v="0"/>
    <d v="2023-03-12T00:00:00"/>
    <n v="3"/>
    <s v="Yes"/>
    <d v="2024-01-12T00:00:00"/>
    <n v="306"/>
    <x v="1"/>
    <n v="19"/>
  </r>
  <r>
    <s v="C067"/>
    <x v="0"/>
    <d v="2023-03-09T00:00:00"/>
    <n v="0"/>
    <s v="Yes"/>
    <d v="2023-06-01T00:00:00"/>
    <n v="84"/>
    <x v="1"/>
    <n v="29"/>
  </r>
  <r>
    <s v="C020"/>
    <x v="0"/>
    <d v="2023-03-09T00:00:00"/>
    <n v="0"/>
    <s v="Yes"/>
    <d v="2023-08-12T00:00:00"/>
    <n v="156"/>
    <x v="1"/>
    <n v="49"/>
  </r>
  <r>
    <s v="C048"/>
    <x v="2"/>
    <d v="2023-03-09T00:00:00"/>
    <n v="6"/>
    <s v="No"/>
    <m/>
    <s v=""/>
    <x v="0"/>
    <n v="19"/>
  </r>
  <r>
    <s v="C057"/>
    <x v="2"/>
    <d v="2023-03-03T00:00:00"/>
    <n v="4"/>
    <s v="Yes"/>
    <d v="2024-03-12T00:00:00"/>
    <n v="375"/>
    <x v="1"/>
    <n v="99"/>
  </r>
  <r>
    <s v="C098"/>
    <x v="1"/>
    <d v="2023-02-27T00:00:00"/>
    <n v="2"/>
    <s v="Yes"/>
    <d v="2024-03-07T00:00:00"/>
    <n v="374"/>
    <x v="1"/>
    <n v="29"/>
  </r>
  <r>
    <s v="C034"/>
    <x v="0"/>
    <d v="2023-02-25T00:00:00"/>
    <n v="0"/>
    <s v="Yes"/>
    <d v="2023-05-31T00:00:00"/>
    <n v="95"/>
    <x v="1"/>
    <n v="99"/>
  </r>
  <r>
    <s v="C050"/>
    <x v="1"/>
    <d v="2023-02-25T00:00:00"/>
    <n v="2"/>
    <s v="Yes"/>
    <d v="2023-06-20T00:00:00"/>
    <n v="115"/>
    <x v="1"/>
    <n v="99"/>
  </r>
  <r>
    <s v="C040"/>
    <x v="2"/>
    <d v="2023-02-23T00:00:00"/>
    <n v="4"/>
    <s v="Yes"/>
    <d v="2023-07-20T00:00:00"/>
    <n v="147"/>
    <x v="1"/>
    <n v="19"/>
  </r>
  <r>
    <s v="C058"/>
    <x v="0"/>
    <d v="2023-02-19T00:00:00"/>
    <n v="1"/>
    <s v="Yes"/>
    <d v="2024-01-11T00:00:00"/>
    <n v="326"/>
    <x v="1"/>
    <n v="19"/>
  </r>
  <r>
    <s v="C063"/>
    <x v="1"/>
    <d v="2023-02-18T00:00:00"/>
    <n v="8"/>
    <s v="Yes"/>
    <d v="2023-12-04T00:00:00"/>
    <n v="289"/>
    <x v="1"/>
    <n v="29"/>
  </r>
  <r>
    <s v="C027"/>
    <x v="2"/>
    <d v="2023-02-10T00:00:00"/>
    <n v="2"/>
    <s v="No"/>
    <m/>
    <s v=""/>
    <x v="0"/>
    <n v="99"/>
  </r>
  <r>
    <s v="C038"/>
    <x v="1"/>
    <d v="2023-02-08T00:00:00"/>
    <n v="4"/>
    <s v="Yes"/>
    <d v="2023-04-11T00:00:00"/>
    <n v="62"/>
    <x v="1"/>
    <n v="19"/>
  </r>
  <r>
    <s v="C044"/>
    <x v="1"/>
    <d v="2023-02-04T00:00:00"/>
    <n v="3"/>
    <s v="No"/>
    <m/>
    <s v=""/>
    <x v="0"/>
    <n v="99"/>
  </r>
  <r>
    <s v="C062"/>
    <x v="0"/>
    <d v="2023-02-01T00:00:00"/>
    <n v="4"/>
    <s v="No"/>
    <m/>
    <s v=""/>
    <x v="0"/>
    <n v="19"/>
  </r>
  <r>
    <s v="C023"/>
    <x v="0"/>
    <d v="2023-01-28T00:00:00"/>
    <n v="4"/>
    <s v="Yes"/>
    <d v="2023-05-16T00:00:00"/>
    <n v="108"/>
    <x v="1"/>
    <n v="29"/>
  </r>
  <r>
    <s v="C009"/>
    <x v="0"/>
    <d v="2023-01-24T00:00:00"/>
    <n v="0"/>
    <s v="No"/>
    <m/>
    <s v=""/>
    <x v="0"/>
    <n v="19"/>
  </r>
  <r>
    <s v="C028"/>
    <x v="0"/>
    <d v="2023-01-24T00:00:00"/>
    <n v="11"/>
    <s v="No"/>
    <m/>
    <s v=""/>
    <x v="0"/>
    <n v="29"/>
  </r>
  <r>
    <s v="C046"/>
    <x v="2"/>
    <d v="2023-01-13T00:00:00"/>
    <n v="0"/>
    <s v="No"/>
    <m/>
    <s v=""/>
    <x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FEC4E-237A-4D3A-B91B-F217AE095D27}" name="PivotTable1" cacheId="36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C6:I15" firstHeaderRow="0" firstDataRow="1" firstDataCol="2"/>
  <pivotFields count="9"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14" outline="0" showAll="0"/>
    <pivotField dataField="1" compact="0" numFmtId="1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" outline="0" showAll="0"/>
  </pivotFields>
  <rowFields count="2">
    <field x="7"/>
    <field x="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Revenue" fld="8" baseField="0" baseItem="0" numFmtId="1"/>
    <dataField name="Total Users Percentage" fld="4" subtotal="count" showDataAs="percentOfTotal" baseField="0" baseItem="0" numFmtId="10"/>
    <dataField name="Max Churn Time Duration (days)" fld="6" subtotal="max" baseField="5" baseItem="0"/>
    <dataField name="Min Churn Time Duration (days)" fld="6" subtotal="min" baseField="0" baseItem="0"/>
    <dataField name="Average New User Arrival (in days)" fld="3" subtotal="average" baseField="0" baseItem="0" numFmtId="1"/>
  </dataFields>
  <formats count="7">
    <format dxfId="11">
      <pivotArea dataOnly="0" labelOnly="1" outline="0" axis="axisValues" fieldPosition="0"/>
    </format>
    <format dxfId="12">
      <pivotArea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format>
    <format dxfId="13">
      <pivotArea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format>
    <format dxfId="14">
      <pivotArea field="7" grandRow="1" outline="0" axis="axisRow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offset="A256" fieldPosition="0">
        <references count="1">
          <reference field="7" count="1" defaultSubtotal="1">
            <x v="0"/>
          </reference>
        </references>
      </pivotArea>
    </format>
    <format dxfId="16">
      <pivotArea dataOnly="0" labelOnly="1" outline="0" fieldPosition="0">
        <references count="1">
          <reference field="7" count="1" defaultSubtotal="1">
            <x v="1"/>
          </reference>
        </references>
      </pivotArea>
    </format>
    <format dxfId="17">
      <pivotArea dataOnly="0" labelOnly="1" outline="0" offset="A256" fieldPosition="0">
        <references count="1">
          <reference field="7" count="1" defaultSubtotal="1">
            <x v="1"/>
          </reference>
        </references>
      </pivotArea>
    </format>
  </formats>
  <conditionalFormats count="5">
    <conditionalFormat priority="1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  <reference field="7" count="1" selected="0">
              <x v="1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3" selected="0">
              <x v="0"/>
              <x v="1"/>
              <x v="2"/>
            </reference>
            <reference field="7" count="1" selected="0">
              <x v="0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3" selected="0">
              <x v="0"/>
              <x v="1"/>
              <x v="2"/>
            </reference>
            <reference field="7" count="1" selected="0">
              <x v="1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  <reference field="7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  <reference field="7" count="1" selected="0">
              <x v="1"/>
            </reference>
          </references>
        </pivotArea>
      </pivotAreas>
    </conditionalFormat>
  </conditionalFormats>
  <chartFormats count="65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3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29102-4A2E-4446-B9CD-CB3DD22D017B}" name="Table1" displayName="Table1" ref="B5:G105" totalsRowShown="0">
  <autoFilter ref="B5:G105" xr:uid="{45F29102-4A2E-4446-B9CD-CB3DD22D017B}"/>
  <tableColumns count="6">
    <tableColumn id="1" xr3:uid="{8EF8B9B9-97A6-4325-AA9D-F3256B622492}" name="customer_id"/>
    <tableColumn id="2" xr3:uid="{927B4C67-082A-41A2-B1C3-7828116F547E}" name="plan"/>
    <tableColumn id="3" xr3:uid="{002C46B3-9709-4EA9-B3AB-28FAFBB7B8F7}" name="signup_date" dataDxfId="10"/>
    <tableColumn id="4" xr3:uid="{702DFA7B-B8D1-4247-B3C4-AA1528CAB47C}" name="churned"/>
    <tableColumn id="5" xr3:uid="{A4F90237-6EF5-4683-93B0-F75C4E1D6AE7}" name="churn_date" dataDxfId="9"/>
    <tableColumn id="6" xr3:uid="{B66C5554-12F6-4B2A-B751-E557621C5AAC}" name="monthly_reven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BDEE3-3787-4520-9928-C4B304D38978}" name="Table13" displayName="Table13" ref="B5:J105" totalsRowShown="0" headerRowDxfId="8">
  <autoFilter ref="B5:J105" xr:uid="{E96BDEE3-3787-4520-9928-C4B304D389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6:J105">
    <sortCondition descending="1" ref="D6:D105"/>
    <sortCondition ref="H6:H105"/>
  </sortState>
  <tableColumns count="9">
    <tableColumn id="1" xr3:uid="{E252AEE7-F1FE-4750-8C5F-75065AE48541}" name="Customer_Id"/>
    <tableColumn id="2" xr3:uid="{94017FD4-E08A-45BC-91B0-838A2C1C2BA4}" name="Plan" dataDxfId="7"/>
    <tableColumn id="3" xr3:uid="{DA746F6D-9678-4057-8F6E-1AFEE9A96B3C}" name="Signup_Date" dataDxfId="6"/>
    <tableColumn id="10" xr3:uid="{1497AB98-DC5A-4044-B1C5-140B80072B7B}" name="New_User_Arrival (in days)" dataDxfId="5">
      <calculatedColumnFormula>_xlfn.DAYS(Table13[[#This Row],[Signup_Date]],D7)</calculatedColumnFormula>
    </tableColumn>
    <tableColumn id="4" xr3:uid="{E4531F81-75EE-4AAF-BF00-0F71B0414FF8}" name="Churned" dataDxfId="4"/>
    <tableColumn id="5" xr3:uid="{996240D8-8363-43CC-A84D-47C690017A3F}" name="Churn_Date" dataDxfId="3"/>
    <tableColumn id="8" xr3:uid="{EA7FEA49-A1C5-48B8-ABDE-86B6CCFC7F40}" name="Time_to_Churn (days)" dataDxfId="2"/>
    <tableColumn id="7" xr3:uid="{A7D36F91-5C77-4C71-9C3F-0FA0A91C1A01}" name="Plan_Status" dataDxfId="1">
      <calculatedColumnFormula>IF(Table13[[#This Row],[Churn_Date]]="","Active","Not Active")</calculatedColumnFormula>
    </tableColumn>
    <tableColumn id="6" xr3:uid="{3735C41B-546A-49D8-AA81-65481D6683C7}" name="Monthly_Revenue (in $)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B375-0F96-44C3-B4BA-D0780BB5FC19}">
  <dimension ref="B5:G105"/>
  <sheetViews>
    <sheetView tabSelected="1" workbookViewId="0">
      <selection activeCell="I8" sqref="I8"/>
    </sheetView>
  </sheetViews>
  <sheetFormatPr defaultRowHeight="15"/>
  <cols>
    <col min="2" max="2" width="14" bestFit="1" customWidth="1"/>
    <col min="3" max="3" width="9.85546875" bestFit="1" customWidth="1"/>
    <col min="4" max="4" width="13.85546875" bestFit="1" customWidth="1"/>
    <col min="5" max="5" width="10.28515625" bestFit="1" customWidth="1"/>
    <col min="6" max="6" width="15.5703125" bestFit="1" customWidth="1"/>
    <col min="7" max="7" width="18.7109375" bestFit="1" customWidth="1"/>
  </cols>
  <sheetData>
    <row r="5" spans="2: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</row>
    <row r="6" spans="2:7">
      <c r="B6" t="s">
        <v>6</v>
      </c>
      <c r="C6" t="s">
        <v>7</v>
      </c>
      <c r="D6" s="1">
        <v>45234</v>
      </c>
      <c r="E6" t="s">
        <v>8</v>
      </c>
      <c r="F6" s="2">
        <v>45404</v>
      </c>
      <c r="G6">
        <v>29</v>
      </c>
    </row>
    <row r="7" spans="2:7">
      <c r="B7" t="s">
        <v>9</v>
      </c>
      <c r="C7" t="s">
        <v>10</v>
      </c>
      <c r="D7" s="1">
        <v>45009</v>
      </c>
      <c r="E7" t="s">
        <v>8</v>
      </c>
      <c r="F7" s="2">
        <v>45385</v>
      </c>
      <c r="G7">
        <v>19</v>
      </c>
    </row>
    <row r="8" spans="2:7">
      <c r="B8" t="s">
        <v>11</v>
      </c>
      <c r="C8" t="s">
        <v>7</v>
      </c>
      <c r="D8" s="1">
        <v>45213</v>
      </c>
      <c r="E8" t="s">
        <v>8</v>
      </c>
      <c r="F8" s="2">
        <v>45258</v>
      </c>
      <c r="G8">
        <v>29</v>
      </c>
    </row>
    <row r="9" spans="2:7">
      <c r="B9" t="s">
        <v>12</v>
      </c>
      <c r="C9" t="s">
        <v>7</v>
      </c>
      <c r="D9" s="1">
        <v>45033</v>
      </c>
      <c r="E9" t="s">
        <v>8</v>
      </c>
      <c r="F9" s="2">
        <v>45350</v>
      </c>
      <c r="G9">
        <v>99</v>
      </c>
    </row>
    <row r="10" spans="2:7">
      <c r="B10" t="s">
        <v>13</v>
      </c>
      <c r="C10" t="s">
        <v>7</v>
      </c>
      <c r="D10" s="1">
        <v>45031</v>
      </c>
      <c r="E10" t="s">
        <v>14</v>
      </c>
      <c r="G10">
        <v>29</v>
      </c>
    </row>
    <row r="11" spans="2:7">
      <c r="B11" t="s">
        <v>15</v>
      </c>
      <c r="C11" t="s">
        <v>16</v>
      </c>
      <c r="D11" s="1">
        <v>45274</v>
      </c>
      <c r="E11" t="s">
        <v>14</v>
      </c>
      <c r="G11">
        <v>29</v>
      </c>
    </row>
    <row r="12" spans="2:7">
      <c r="B12" t="s">
        <v>17</v>
      </c>
      <c r="C12" t="s">
        <v>7</v>
      </c>
      <c r="D12" s="1">
        <v>45041</v>
      </c>
      <c r="E12" t="s">
        <v>14</v>
      </c>
      <c r="G12">
        <v>19</v>
      </c>
    </row>
    <row r="13" spans="2:7">
      <c r="B13" t="s">
        <v>18</v>
      </c>
      <c r="C13" t="s">
        <v>16</v>
      </c>
      <c r="D13" s="1">
        <v>45111</v>
      </c>
      <c r="E13" t="s">
        <v>14</v>
      </c>
      <c r="G13">
        <v>49</v>
      </c>
    </row>
    <row r="14" spans="2:7">
      <c r="B14" t="s">
        <v>19</v>
      </c>
      <c r="C14" t="s">
        <v>10</v>
      </c>
      <c r="D14" s="1">
        <v>44950</v>
      </c>
      <c r="E14" t="s">
        <v>14</v>
      </c>
      <c r="G14">
        <v>19</v>
      </c>
    </row>
    <row r="15" spans="2:7">
      <c r="B15" t="s">
        <v>20</v>
      </c>
      <c r="C15" t="s">
        <v>10</v>
      </c>
      <c r="D15" s="1">
        <v>45110</v>
      </c>
      <c r="E15" t="s">
        <v>14</v>
      </c>
      <c r="G15">
        <v>49</v>
      </c>
    </row>
    <row r="16" spans="2:7">
      <c r="B16" t="s">
        <v>21</v>
      </c>
      <c r="C16" t="s">
        <v>10</v>
      </c>
      <c r="D16" s="1">
        <v>45206</v>
      </c>
      <c r="E16" t="s">
        <v>8</v>
      </c>
      <c r="F16" s="2">
        <v>45259</v>
      </c>
      <c r="G16">
        <v>29</v>
      </c>
    </row>
    <row r="17" spans="2:7">
      <c r="B17" t="s">
        <v>22</v>
      </c>
      <c r="C17" t="s">
        <v>16</v>
      </c>
      <c r="D17" s="1">
        <v>45049</v>
      </c>
      <c r="E17" t="s">
        <v>8</v>
      </c>
      <c r="F17" s="2">
        <v>45130</v>
      </c>
      <c r="G17">
        <v>49</v>
      </c>
    </row>
    <row r="18" spans="2:7">
      <c r="B18" t="s">
        <v>23</v>
      </c>
      <c r="C18" t="s">
        <v>7</v>
      </c>
      <c r="D18" s="1">
        <v>45159</v>
      </c>
      <c r="E18" t="s">
        <v>14</v>
      </c>
      <c r="G18">
        <v>49</v>
      </c>
    </row>
    <row r="19" spans="2:7">
      <c r="B19" t="s">
        <v>24</v>
      </c>
      <c r="C19" t="s">
        <v>10</v>
      </c>
      <c r="D19" s="1">
        <v>45084</v>
      </c>
      <c r="E19" t="s">
        <v>14</v>
      </c>
      <c r="G19">
        <v>19</v>
      </c>
    </row>
    <row r="20" spans="2:7">
      <c r="B20" t="s">
        <v>25</v>
      </c>
      <c r="C20" t="s">
        <v>10</v>
      </c>
      <c r="D20" s="1">
        <v>45220</v>
      </c>
      <c r="E20" t="s">
        <v>8</v>
      </c>
      <c r="F20" s="2">
        <v>45523</v>
      </c>
      <c r="G20">
        <v>29</v>
      </c>
    </row>
    <row r="21" spans="2:7">
      <c r="B21" t="s">
        <v>26</v>
      </c>
      <c r="C21" t="s">
        <v>16</v>
      </c>
      <c r="D21" s="1">
        <v>45000</v>
      </c>
      <c r="E21" t="s">
        <v>14</v>
      </c>
      <c r="G21">
        <v>29</v>
      </c>
    </row>
    <row r="22" spans="2:7">
      <c r="B22" t="s">
        <v>27</v>
      </c>
      <c r="C22" t="s">
        <v>7</v>
      </c>
      <c r="D22" s="1">
        <v>45241</v>
      </c>
      <c r="E22" t="s">
        <v>8</v>
      </c>
      <c r="F22" s="2">
        <v>45388</v>
      </c>
      <c r="G22">
        <v>49</v>
      </c>
    </row>
    <row r="23" spans="2:7">
      <c r="B23" t="s">
        <v>28</v>
      </c>
      <c r="C23" t="s">
        <v>10</v>
      </c>
      <c r="D23" s="1">
        <v>45116</v>
      </c>
      <c r="E23" t="s">
        <v>8</v>
      </c>
      <c r="F23" s="2">
        <v>45254</v>
      </c>
      <c r="G23">
        <v>49</v>
      </c>
    </row>
    <row r="24" spans="2:7">
      <c r="B24" t="s">
        <v>29</v>
      </c>
      <c r="C24" t="s">
        <v>16</v>
      </c>
      <c r="D24" s="1">
        <v>45037</v>
      </c>
      <c r="E24" t="s">
        <v>14</v>
      </c>
      <c r="G24">
        <v>99</v>
      </c>
    </row>
    <row r="25" spans="2:7">
      <c r="B25" t="s">
        <v>30</v>
      </c>
      <c r="C25" t="s">
        <v>10</v>
      </c>
      <c r="D25" s="1">
        <v>44994</v>
      </c>
      <c r="E25" t="s">
        <v>8</v>
      </c>
      <c r="F25" s="2">
        <v>45150</v>
      </c>
      <c r="G25">
        <v>49</v>
      </c>
    </row>
    <row r="26" spans="2:7">
      <c r="B26" t="s">
        <v>31</v>
      </c>
      <c r="C26" t="s">
        <v>10</v>
      </c>
      <c r="D26" s="1">
        <v>45279</v>
      </c>
      <c r="E26" t="s">
        <v>14</v>
      </c>
      <c r="G26">
        <v>99</v>
      </c>
    </row>
    <row r="27" spans="2:7">
      <c r="B27" t="s">
        <v>32</v>
      </c>
      <c r="C27" t="s">
        <v>16</v>
      </c>
      <c r="D27" s="1">
        <v>45085</v>
      </c>
      <c r="E27" t="s">
        <v>8</v>
      </c>
      <c r="F27" s="2">
        <v>45375</v>
      </c>
      <c r="G27">
        <v>19</v>
      </c>
    </row>
    <row r="28" spans="2:7">
      <c r="B28" t="s">
        <v>33</v>
      </c>
      <c r="C28" t="s">
        <v>10</v>
      </c>
      <c r="D28" s="1">
        <v>44954</v>
      </c>
      <c r="E28" t="s">
        <v>8</v>
      </c>
      <c r="F28" s="2">
        <v>45062</v>
      </c>
      <c r="G28">
        <v>29</v>
      </c>
    </row>
    <row r="29" spans="2:7">
      <c r="B29" t="s">
        <v>34</v>
      </c>
      <c r="C29" t="s">
        <v>16</v>
      </c>
      <c r="D29" s="1">
        <v>45244</v>
      </c>
      <c r="E29" t="s">
        <v>8</v>
      </c>
      <c r="F29" s="2">
        <v>45471</v>
      </c>
      <c r="G29">
        <v>99</v>
      </c>
    </row>
    <row r="30" spans="2:7">
      <c r="B30" t="s">
        <v>35</v>
      </c>
      <c r="C30" t="s">
        <v>10</v>
      </c>
      <c r="D30" s="1">
        <v>45178</v>
      </c>
      <c r="E30" t="s">
        <v>8</v>
      </c>
      <c r="F30" s="2">
        <v>45556</v>
      </c>
      <c r="G30">
        <v>19</v>
      </c>
    </row>
    <row r="31" spans="2:7">
      <c r="B31" t="s">
        <v>36</v>
      </c>
      <c r="C31" t="s">
        <v>10</v>
      </c>
      <c r="D31" s="1">
        <v>45248</v>
      </c>
      <c r="E31" t="s">
        <v>14</v>
      </c>
      <c r="G31">
        <v>49</v>
      </c>
    </row>
    <row r="32" spans="2:7">
      <c r="B32" t="s">
        <v>37</v>
      </c>
      <c r="C32" t="s">
        <v>7</v>
      </c>
      <c r="D32" s="1">
        <v>44967</v>
      </c>
      <c r="E32" t="s">
        <v>14</v>
      </c>
      <c r="G32">
        <v>99</v>
      </c>
    </row>
    <row r="33" spans="2:7">
      <c r="B33" t="s">
        <v>38</v>
      </c>
      <c r="C33" t="s">
        <v>10</v>
      </c>
      <c r="D33" s="1">
        <v>44950</v>
      </c>
      <c r="E33" t="s">
        <v>14</v>
      </c>
      <c r="G33">
        <v>29</v>
      </c>
    </row>
    <row r="34" spans="2:7">
      <c r="B34" t="s">
        <v>39</v>
      </c>
      <c r="C34" t="s">
        <v>10</v>
      </c>
      <c r="D34" s="1">
        <v>45173</v>
      </c>
      <c r="E34" t="s">
        <v>14</v>
      </c>
      <c r="G34">
        <v>29</v>
      </c>
    </row>
    <row r="35" spans="2:7">
      <c r="B35" t="s">
        <v>40</v>
      </c>
      <c r="C35" t="s">
        <v>10</v>
      </c>
      <c r="D35" s="1">
        <v>44997</v>
      </c>
      <c r="E35" t="s">
        <v>8</v>
      </c>
      <c r="F35" s="2">
        <v>45303</v>
      </c>
      <c r="G35">
        <v>19</v>
      </c>
    </row>
    <row r="36" spans="2:7">
      <c r="B36" t="s">
        <v>41</v>
      </c>
      <c r="C36" t="s">
        <v>7</v>
      </c>
      <c r="D36" s="1">
        <v>45210</v>
      </c>
      <c r="E36" t="s">
        <v>14</v>
      </c>
      <c r="G36">
        <v>19</v>
      </c>
    </row>
    <row r="37" spans="2:7">
      <c r="B37" t="s">
        <v>42</v>
      </c>
      <c r="C37" t="s">
        <v>7</v>
      </c>
      <c r="D37" s="1">
        <v>45104</v>
      </c>
      <c r="E37" t="s">
        <v>14</v>
      </c>
      <c r="G37">
        <v>19</v>
      </c>
    </row>
    <row r="38" spans="2:7">
      <c r="B38" t="s">
        <v>43</v>
      </c>
      <c r="C38" t="s">
        <v>10</v>
      </c>
      <c r="D38" s="1">
        <v>45035</v>
      </c>
      <c r="E38" t="s">
        <v>8</v>
      </c>
      <c r="F38" s="2">
        <v>45108</v>
      </c>
      <c r="G38">
        <v>99</v>
      </c>
    </row>
    <row r="39" spans="2:7">
      <c r="B39" t="s">
        <v>44</v>
      </c>
      <c r="C39" t="s">
        <v>10</v>
      </c>
      <c r="D39" s="1">
        <v>44982</v>
      </c>
      <c r="E39" t="s">
        <v>8</v>
      </c>
      <c r="F39" s="2">
        <v>45077</v>
      </c>
      <c r="G39">
        <v>99</v>
      </c>
    </row>
    <row r="40" spans="2:7">
      <c r="B40" t="s">
        <v>45</v>
      </c>
      <c r="C40" t="s">
        <v>10</v>
      </c>
      <c r="D40" s="1">
        <v>45175</v>
      </c>
      <c r="E40" t="s">
        <v>14</v>
      </c>
      <c r="G40">
        <v>99</v>
      </c>
    </row>
    <row r="41" spans="2:7">
      <c r="B41" t="s">
        <v>46</v>
      </c>
      <c r="C41" t="s">
        <v>16</v>
      </c>
      <c r="D41" s="1">
        <v>45034</v>
      </c>
      <c r="E41" t="s">
        <v>8</v>
      </c>
      <c r="F41" s="2">
        <v>45429</v>
      </c>
      <c r="G41">
        <v>99</v>
      </c>
    </row>
    <row r="42" spans="2:7">
      <c r="B42" t="s">
        <v>47</v>
      </c>
      <c r="C42" t="s">
        <v>16</v>
      </c>
      <c r="D42" s="1">
        <v>45251</v>
      </c>
      <c r="E42" t="s">
        <v>14</v>
      </c>
      <c r="G42">
        <v>99</v>
      </c>
    </row>
    <row r="43" spans="2:7">
      <c r="B43" t="s">
        <v>48</v>
      </c>
      <c r="C43" t="s">
        <v>16</v>
      </c>
      <c r="D43" s="1">
        <v>44965</v>
      </c>
      <c r="E43" t="s">
        <v>8</v>
      </c>
      <c r="F43" s="2">
        <v>45027</v>
      </c>
      <c r="G43">
        <v>19</v>
      </c>
    </row>
    <row r="44" spans="2:7">
      <c r="B44" t="s">
        <v>49</v>
      </c>
      <c r="C44" t="s">
        <v>7</v>
      </c>
      <c r="D44" s="1">
        <v>45217</v>
      </c>
      <c r="E44" t="s">
        <v>8</v>
      </c>
      <c r="F44" s="2">
        <v>45548</v>
      </c>
      <c r="G44">
        <v>19</v>
      </c>
    </row>
    <row r="45" spans="2:7">
      <c r="B45" t="s">
        <v>50</v>
      </c>
      <c r="C45" t="s">
        <v>7</v>
      </c>
      <c r="D45" s="1">
        <v>44980</v>
      </c>
      <c r="E45" t="s">
        <v>8</v>
      </c>
      <c r="F45" s="2">
        <v>45127</v>
      </c>
      <c r="G45">
        <v>19</v>
      </c>
    </row>
    <row r="46" spans="2:7">
      <c r="B46" t="s">
        <v>51</v>
      </c>
      <c r="C46" t="s">
        <v>10</v>
      </c>
      <c r="D46" s="1">
        <v>45080</v>
      </c>
      <c r="E46" t="s">
        <v>8</v>
      </c>
      <c r="F46" s="2">
        <v>45252</v>
      </c>
      <c r="G46">
        <v>99</v>
      </c>
    </row>
    <row r="47" spans="2:7">
      <c r="B47" t="s">
        <v>52</v>
      </c>
      <c r="C47" t="s">
        <v>10</v>
      </c>
      <c r="D47" s="1">
        <v>45034</v>
      </c>
      <c r="E47" t="s">
        <v>8</v>
      </c>
      <c r="F47" s="2">
        <v>45434</v>
      </c>
      <c r="G47">
        <v>99</v>
      </c>
    </row>
    <row r="48" spans="2:7">
      <c r="B48" t="s">
        <v>53</v>
      </c>
      <c r="C48" t="s">
        <v>16</v>
      </c>
      <c r="D48" s="1">
        <v>45042</v>
      </c>
      <c r="E48" t="s">
        <v>14</v>
      </c>
      <c r="G48">
        <v>29</v>
      </c>
    </row>
    <row r="49" spans="2:7">
      <c r="B49" t="s">
        <v>54</v>
      </c>
      <c r="C49" t="s">
        <v>16</v>
      </c>
      <c r="D49" s="1">
        <v>44961</v>
      </c>
      <c r="E49" t="s">
        <v>14</v>
      </c>
      <c r="G49">
        <v>99</v>
      </c>
    </row>
    <row r="50" spans="2:7">
      <c r="B50" t="s">
        <v>55</v>
      </c>
      <c r="C50" t="s">
        <v>10</v>
      </c>
      <c r="D50" s="1">
        <v>45122</v>
      </c>
      <c r="E50" t="s">
        <v>8</v>
      </c>
      <c r="F50" s="2">
        <v>45496</v>
      </c>
      <c r="G50">
        <v>19</v>
      </c>
    </row>
    <row r="51" spans="2:7">
      <c r="B51" t="s">
        <v>56</v>
      </c>
      <c r="C51" t="s">
        <v>7</v>
      </c>
      <c r="D51" s="1">
        <v>44939</v>
      </c>
      <c r="E51" t="s">
        <v>14</v>
      </c>
      <c r="G51">
        <v>29</v>
      </c>
    </row>
    <row r="52" spans="2:7">
      <c r="B52" t="s">
        <v>57</v>
      </c>
      <c r="C52" t="s">
        <v>7</v>
      </c>
      <c r="D52" s="1">
        <v>45023</v>
      </c>
      <c r="E52" t="s">
        <v>14</v>
      </c>
      <c r="G52">
        <v>99</v>
      </c>
    </row>
    <row r="53" spans="2:7">
      <c r="B53" t="s">
        <v>58</v>
      </c>
      <c r="C53" t="s">
        <v>7</v>
      </c>
      <c r="D53" s="1">
        <v>44994</v>
      </c>
      <c r="E53" t="s">
        <v>14</v>
      </c>
      <c r="G53">
        <v>19</v>
      </c>
    </row>
    <row r="54" spans="2:7">
      <c r="B54" t="s">
        <v>59</v>
      </c>
      <c r="C54" t="s">
        <v>10</v>
      </c>
      <c r="D54" s="1">
        <v>45164</v>
      </c>
      <c r="E54" t="s">
        <v>8</v>
      </c>
      <c r="F54" s="2">
        <v>45219</v>
      </c>
      <c r="G54">
        <v>19</v>
      </c>
    </row>
    <row r="55" spans="2:7">
      <c r="B55" t="s">
        <v>60</v>
      </c>
      <c r="C55" t="s">
        <v>16</v>
      </c>
      <c r="D55" s="1">
        <v>44982</v>
      </c>
      <c r="E55" t="s">
        <v>8</v>
      </c>
      <c r="F55" s="2">
        <v>45097</v>
      </c>
      <c r="G55">
        <v>99</v>
      </c>
    </row>
    <row r="56" spans="2:7">
      <c r="B56" t="s">
        <v>61</v>
      </c>
      <c r="C56" t="s">
        <v>7</v>
      </c>
      <c r="D56" s="1">
        <v>45145</v>
      </c>
      <c r="E56" t="s">
        <v>14</v>
      </c>
      <c r="G56">
        <v>29</v>
      </c>
    </row>
    <row r="57" spans="2:7">
      <c r="B57" t="s">
        <v>62</v>
      </c>
      <c r="C57" t="s">
        <v>16</v>
      </c>
      <c r="D57" s="1">
        <v>45108</v>
      </c>
      <c r="E57" t="s">
        <v>14</v>
      </c>
      <c r="G57">
        <v>99</v>
      </c>
    </row>
    <row r="58" spans="2:7">
      <c r="B58" t="s">
        <v>63</v>
      </c>
      <c r="C58" t="s">
        <v>7</v>
      </c>
      <c r="D58" s="1">
        <v>45060</v>
      </c>
      <c r="E58" t="s">
        <v>14</v>
      </c>
      <c r="G58">
        <v>29</v>
      </c>
    </row>
    <row r="59" spans="2:7">
      <c r="B59" t="s">
        <v>64</v>
      </c>
      <c r="C59" t="s">
        <v>10</v>
      </c>
      <c r="D59" s="1">
        <v>45053</v>
      </c>
      <c r="E59" t="s">
        <v>8</v>
      </c>
      <c r="F59" s="2">
        <v>45379</v>
      </c>
      <c r="G59">
        <v>19</v>
      </c>
    </row>
    <row r="60" spans="2:7">
      <c r="B60" t="s">
        <v>65</v>
      </c>
      <c r="C60" t="s">
        <v>10</v>
      </c>
      <c r="D60" s="1">
        <v>45271</v>
      </c>
      <c r="E60" t="s">
        <v>8</v>
      </c>
      <c r="F60" s="2">
        <v>45326</v>
      </c>
      <c r="G60">
        <v>99</v>
      </c>
    </row>
    <row r="61" spans="2:7">
      <c r="B61" t="s">
        <v>66</v>
      </c>
      <c r="C61" t="s">
        <v>10</v>
      </c>
      <c r="D61" s="1">
        <v>45197</v>
      </c>
      <c r="E61" t="s">
        <v>8</v>
      </c>
      <c r="F61" s="2">
        <v>45256</v>
      </c>
      <c r="G61">
        <v>19</v>
      </c>
    </row>
    <row r="62" spans="2:7">
      <c r="B62" t="s">
        <v>67</v>
      </c>
      <c r="C62" t="s">
        <v>7</v>
      </c>
      <c r="D62" s="1">
        <v>44988</v>
      </c>
      <c r="E62" t="s">
        <v>8</v>
      </c>
      <c r="F62" s="2">
        <v>45363</v>
      </c>
      <c r="G62">
        <v>99</v>
      </c>
    </row>
    <row r="63" spans="2:7">
      <c r="B63" t="s">
        <v>68</v>
      </c>
      <c r="C63" t="s">
        <v>10</v>
      </c>
      <c r="D63" s="1">
        <v>44976</v>
      </c>
      <c r="E63" t="s">
        <v>8</v>
      </c>
      <c r="F63" s="2">
        <v>45302</v>
      </c>
      <c r="G63">
        <v>19</v>
      </c>
    </row>
    <row r="64" spans="2:7">
      <c r="B64" t="s">
        <v>69</v>
      </c>
      <c r="C64" t="s">
        <v>10</v>
      </c>
      <c r="D64" s="1">
        <v>45202</v>
      </c>
      <c r="E64" t="s">
        <v>14</v>
      </c>
      <c r="G64">
        <v>49</v>
      </c>
    </row>
    <row r="65" spans="2:7">
      <c r="B65" t="s">
        <v>70</v>
      </c>
      <c r="C65" t="s">
        <v>7</v>
      </c>
      <c r="D65" s="1">
        <v>45053</v>
      </c>
      <c r="E65" t="s">
        <v>14</v>
      </c>
      <c r="G65">
        <v>49</v>
      </c>
    </row>
    <row r="66" spans="2:7">
      <c r="B66" t="s">
        <v>71</v>
      </c>
      <c r="C66" t="s">
        <v>16</v>
      </c>
      <c r="D66" s="1">
        <v>45112</v>
      </c>
      <c r="E66" t="s">
        <v>14</v>
      </c>
      <c r="G66">
        <v>49</v>
      </c>
    </row>
    <row r="67" spans="2:7">
      <c r="B67" t="s">
        <v>72</v>
      </c>
      <c r="C67" t="s">
        <v>10</v>
      </c>
      <c r="D67" s="1">
        <v>44958</v>
      </c>
      <c r="E67" t="s">
        <v>14</v>
      </c>
      <c r="G67">
        <v>19</v>
      </c>
    </row>
    <row r="68" spans="2:7">
      <c r="B68" t="s">
        <v>73</v>
      </c>
      <c r="C68" t="s">
        <v>16</v>
      </c>
      <c r="D68" s="1">
        <v>44975</v>
      </c>
      <c r="E68" t="s">
        <v>8</v>
      </c>
      <c r="F68" s="2">
        <v>45264</v>
      </c>
      <c r="G68">
        <v>29</v>
      </c>
    </row>
    <row r="69" spans="2:7">
      <c r="B69" t="s">
        <v>74</v>
      </c>
      <c r="C69" t="s">
        <v>16</v>
      </c>
      <c r="D69" s="1">
        <v>45080</v>
      </c>
      <c r="E69" t="s">
        <v>8</v>
      </c>
      <c r="F69" s="2">
        <v>45299</v>
      </c>
      <c r="G69">
        <v>29</v>
      </c>
    </row>
    <row r="70" spans="2:7">
      <c r="B70" t="s">
        <v>75</v>
      </c>
      <c r="C70" t="s">
        <v>10</v>
      </c>
      <c r="D70" s="1">
        <v>45165</v>
      </c>
      <c r="E70" t="s">
        <v>14</v>
      </c>
      <c r="G70">
        <v>19</v>
      </c>
    </row>
    <row r="71" spans="2:7">
      <c r="B71" t="s">
        <v>76</v>
      </c>
      <c r="C71" t="s">
        <v>10</v>
      </c>
      <c r="D71" s="1">
        <v>45257</v>
      </c>
      <c r="E71" t="s">
        <v>14</v>
      </c>
      <c r="G71">
        <v>19</v>
      </c>
    </row>
    <row r="72" spans="2:7">
      <c r="B72" t="s">
        <v>77</v>
      </c>
      <c r="C72" t="s">
        <v>10</v>
      </c>
      <c r="D72" s="1">
        <v>44994</v>
      </c>
      <c r="E72" t="s">
        <v>8</v>
      </c>
      <c r="F72" s="2">
        <v>45078</v>
      </c>
      <c r="G72">
        <v>29</v>
      </c>
    </row>
    <row r="73" spans="2:7">
      <c r="B73" t="s">
        <v>78</v>
      </c>
      <c r="C73" t="s">
        <v>16</v>
      </c>
      <c r="D73" s="1">
        <v>45056</v>
      </c>
      <c r="E73" t="s">
        <v>8</v>
      </c>
      <c r="F73" s="2">
        <v>45453</v>
      </c>
      <c r="G73">
        <v>29</v>
      </c>
    </row>
    <row r="74" spans="2:7">
      <c r="B74" t="s">
        <v>79</v>
      </c>
      <c r="C74" t="s">
        <v>10</v>
      </c>
      <c r="D74" s="1">
        <v>45251</v>
      </c>
      <c r="E74" t="s">
        <v>14</v>
      </c>
      <c r="G74">
        <v>99</v>
      </c>
    </row>
    <row r="75" spans="2:7">
      <c r="B75" t="s">
        <v>80</v>
      </c>
      <c r="C75" t="s">
        <v>10</v>
      </c>
      <c r="D75" s="1">
        <v>45074</v>
      </c>
      <c r="E75" t="s">
        <v>8</v>
      </c>
      <c r="F75" s="2">
        <v>45151</v>
      </c>
      <c r="G75">
        <v>99</v>
      </c>
    </row>
    <row r="76" spans="2:7">
      <c r="B76" t="s">
        <v>81</v>
      </c>
      <c r="C76" t="s">
        <v>7</v>
      </c>
      <c r="D76" s="1">
        <v>45048</v>
      </c>
      <c r="E76" t="s">
        <v>8</v>
      </c>
      <c r="F76" s="2">
        <v>45248</v>
      </c>
      <c r="G76">
        <v>49</v>
      </c>
    </row>
    <row r="77" spans="2:7">
      <c r="B77" t="s">
        <v>82</v>
      </c>
      <c r="C77" t="s">
        <v>10</v>
      </c>
      <c r="D77" s="1">
        <v>45009</v>
      </c>
      <c r="E77" t="s">
        <v>14</v>
      </c>
      <c r="G77">
        <v>99</v>
      </c>
    </row>
    <row r="78" spans="2:7">
      <c r="B78" t="s">
        <v>83</v>
      </c>
      <c r="C78" t="s">
        <v>10</v>
      </c>
      <c r="D78" s="1">
        <v>45170</v>
      </c>
      <c r="E78" t="s">
        <v>8</v>
      </c>
      <c r="F78" s="2">
        <v>45238</v>
      </c>
      <c r="G78">
        <v>29</v>
      </c>
    </row>
    <row r="79" spans="2:7">
      <c r="B79" t="s">
        <v>84</v>
      </c>
      <c r="C79" t="s">
        <v>10</v>
      </c>
      <c r="D79" s="1">
        <v>45171</v>
      </c>
      <c r="E79" t="s">
        <v>14</v>
      </c>
      <c r="G79">
        <v>29</v>
      </c>
    </row>
    <row r="80" spans="2:7">
      <c r="B80" t="s">
        <v>85</v>
      </c>
      <c r="C80" t="s">
        <v>16</v>
      </c>
      <c r="D80" s="1">
        <v>45112</v>
      </c>
      <c r="E80" t="s">
        <v>8</v>
      </c>
      <c r="F80" s="2">
        <v>45299</v>
      </c>
      <c r="G80">
        <v>19</v>
      </c>
    </row>
    <row r="81" spans="2:7">
      <c r="B81" t="s">
        <v>86</v>
      </c>
      <c r="C81" t="s">
        <v>7</v>
      </c>
      <c r="D81" s="1">
        <v>45084</v>
      </c>
      <c r="E81" t="s">
        <v>8</v>
      </c>
      <c r="F81" s="2">
        <v>45455</v>
      </c>
      <c r="G81">
        <v>49</v>
      </c>
    </row>
    <row r="82" spans="2:7">
      <c r="B82" t="s">
        <v>87</v>
      </c>
      <c r="C82" t="s">
        <v>10</v>
      </c>
      <c r="D82" s="1">
        <v>45197</v>
      </c>
      <c r="E82" t="s">
        <v>14</v>
      </c>
      <c r="G82">
        <v>29</v>
      </c>
    </row>
    <row r="83" spans="2:7">
      <c r="B83" t="s">
        <v>88</v>
      </c>
      <c r="C83" t="s">
        <v>16</v>
      </c>
      <c r="D83" s="1">
        <v>45044</v>
      </c>
      <c r="E83" t="s">
        <v>8</v>
      </c>
      <c r="F83" s="2">
        <v>45164</v>
      </c>
      <c r="G83">
        <v>19</v>
      </c>
    </row>
    <row r="84" spans="2:7">
      <c r="B84" t="s">
        <v>89</v>
      </c>
      <c r="C84" t="s">
        <v>16</v>
      </c>
      <c r="D84" s="1">
        <v>45009</v>
      </c>
      <c r="E84" t="s">
        <v>14</v>
      </c>
      <c r="G84">
        <v>29</v>
      </c>
    </row>
    <row r="85" spans="2:7">
      <c r="B85" t="s">
        <v>90</v>
      </c>
      <c r="C85" t="s">
        <v>7</v>
      </c>
      <c r="D85" s="1">
        <v>45052</v>
      </c>
      <c r="E85" t="s">
        <v>8</v>
      </c>
      <c r="F85" s="2">
        <v>45277</v>
      </c>
      <c r="G85">
        <v>99</v>
      </c>
    </row>
    <row r="86" spans="2:7">
      <c r="B86" t="s">
        <v>91</v>
      </c>
      <c r="C86" t="s">
        <v>16</v>
      </c>
      <c r="D86" s="1">
        <v>45023</v>
      </c>
      <c r="E86" t="s">
        <v>14</v>
      </c>
      <c r="G86">
        <v>49</v>
      </c>
    </row>
    <row r="87" spans="2:7">
      <c r="B87" t="s">
        <v>92</v>
      </c>
      <c r="C87" t="s">
        <v>7</v>
      </c>
      <c r="D87" s="1">
        <v>45024</v>
      </c>
      <c r="E87" t="s">
        <v>8</v>
      </c>
      <c r="F87" s="2">
        <v>45391</v>
      </c>
      <c r="G87">
        <v>99</v>
      </c>
    </row>
    <row r="88" spans="2:7">
      <c r="B88" t="s">
        <v>93</v>
      </c>
      <c r="C88" t="s">
        <v>16</v>
      </c>
      <c r="D88" s="1">
        <v>45086</v>
      </c>
      <c r="E88" t="s">
        <v>8</v>
      </c>
      <c r="F88" s="2">
        <v>45258</v>
      </c>
      <c r="G88">
        <v>99</v>
      </c>
    </row>
    <row r="89" spans="2:7">
      <c r="B89" t="s">
        <v>94</v>
      </c>
      <c r="C89" t="s">
        <v>7</v>
      </c>
      <c r="D89" s="1">
        <v>45257</v>
      </c>
      <c r="E89" t="s">
        <v>14</v>
      </c>
      <c r="G89">
        <v>19</v>
      </c>
    </row>
    <row r="90" spans="2:7">
      <c r="B90" t="s">
        <v>95</v>
      </c>
      <c r="C90" t="s">
        <v>7</v>
      </c>
      <c r="D90" s="1">
        <v>45052</v>
      </c>
      <c r="E90" t="s">
        <v>14</v>
      </c>
      <c r="G90">
        <v>19</v>
      </c>
    </row>
    <row r="91" spans="2:7">
      <c r="B91" t="s">
        <v>96</v>
      </c>
      <c r="C91" t="s">
        <v>10</v>
      </c>
      <c r="D91" s="1">
        <v>45213</v>
      </c>
      <c r="E91" t="s">
        <v>14</v>
      </c>
      <c r="G91">
        <v>49</v>
      </c>
    </row>
    <row r="92" spans="2:7">
      <c r="B92" t="s">
        <v>97</v>
      </c>
      <c r="C92" t="s">
        <v>10</v>
      </c>
      <c r="D92" s="1">
        <v>45127</v>
      </c>
      <c r="E92" t="s">
        <v>8</v>
      </c>
      <c r="F92" s="2">
        <v>45354</v>
      </c>
      <c r="G92">
        <v>29</v>
      </c>
    </row>
    <row r="93" spans="2:7">
      <c r="B93" t="s">
        <v>98</v>
      </c>
      <c r="C93" t="s">
        <v>7</v>
      </c>
      <c r="D93" s="1">
        <v>45048</v>
      </c>
      <c r="E93" t="s">
        <v>14</v>
      </c>
      <c r="G93">
        <v>29</v>
      </c>
    </row>
    <row r="94" spans="2:7">
      <c r="B94" t="s">
        <v>99</v>
      </c>
      <c r="C94" t="s">
        <v>16</v>
      </c>
      <c r="D94" s="1">
        <v>45091</v>
      </c>
      <c r="E94" t="s">
        <v>8</v>
      </c>
      <c r="F94" s="2">
        <v>45461</v>
      </c>
      <c r="G94">
        <v>49</v>
      </c>
    </row>
    <row r="95" spans="2:7">
      <c r="B95" t="s">
        <v>100</v>
      </c>
      <c r="C95" t="s">
        <v>16</v>
      </c>
      <c r="D95" s="1">
        <v>45258</v>
      </c>
      <c r="E95" t="s">
        <v>8</v>
      </c>
      <c r="F95" s="2">
        <v>45656</v>
      </c>
      <c r="G95">
        <v>49</v>
      </c>
    </row>
    <row r="96" spans="2:7">
      <c r="B96" t="s">
        <v>101</v>
      </c>
      <c r="C96" t="s">
        <v>16</v>
      </c>
      <c r="D96" s="1">
        <v>45244</v>
      </c>
      <c r="E96" t="s">
        <v>14</v>
      </c>
      <c r="G96">
        <v>49</v>
      </c>
    </row>
    <row r="97" spans="2:7">
      <c r="B97" t="s">
        <v>102</v>
      </c>
      <c r="C97" t="s">
        <v>10</v>
      </c>
      <c r="D97" s="1">
        <v>45174</v>
      </c>
      <c r="E97" t="s">
        <v>8</v>
      </c>
      <c r="F97" s="2">
        <v>45419</v>
      </c>
      <c r="G97">
        <v>99</v>
      </c>
    </row>
    <row r="98" spans="2:7">
      <c r="B98" t="s">
        <v>103</v>
      </c>
      <c r="C98" t="s">
        <v>10</v>
      </c>
      <c r="D98" s="1">
        <v>45254</v>
      </c>
      <c r="E98" t="s">
        <v>8</v>
      </c>
      <c r="F98" s="2">
        <v>45599</v>
      </c>
      <c r="G98">
        <v>49</v>
      </c>
    </row>
    <row r="99" spans="2:7">
      <c r="B99" t="s">
        <v>104</v>
      </c>
      <c r="C99" t="s">
        <v>16</v>
      </c>
      <c r="D99" s="1">
        <v>45125</v>
      </c>
      <c r="E99" t="s">
        <v>8</v>
      </c>
      <c r="F99" s="2">
        <v>45310</v>
      </c>
      <c r="G99">
        <v>29</v>
      </c>
    </row>
    <row r="100" spans="2:7">
      <c r="B100" t="s">
        <v>105</v>
      </c>
      <c r="C100" t="s">
        <v>16</v>
      </c>
      <c r="D100" s="1">
        <v>45133</v>
      </c>
      <c r="E100" t="s">
        <v>14</v>
      </c>
      <c r="G100">
        <v>99</v>
      </c>
    </row>
    <row r="101" spans="2:7">
      <c r="B101" t="s">
        <v>106</v>
      </c>
      <c r="C101" t="s">
        <v>16</v>
      </c>
      <c r="D101" s="1">
        <v>45160</v>
      </c>
      <c r="E101" t="s">
        <v>8</v>
      </c>
      <c r="F101" s="2">
        <v>45451</v>
      </c>
      <c r="G101">
        <v>29</v>
      </c>
    </row>
    <row r="102" spans="2:7">
      <c r="B102" t="s">
        <v>107</v>
      </c>
      <c r="C102" t="s">
        <v>10</v>
      </c>
      <c r="D102" s="1">
        <v>45233</v>
      </c>
      <c r="E102" t="s">
        <v>14</v>
      </c>
      <c r="G102">
        <v>49</v>
      </c>
    </row>
    <row r="103" spans="2:7">
      <c r="B103" t="s">
        <v>108</v>
      </c>
      <c r="C103" t="s">
        <v>16</v>
      </c>
      <c r="D103" s="1">
        <v>44984</v>
      </c>
      <c r="E103" t="s">
        <v>8</v>
      </c>
      <c r="F103" s="2">
        <v>45358</v>
      </c>
      <c r="G103">
        <v>29</v>
      </c>
    </row>
    <row r="104" spans="2:7">
      <c r="B104" t="s">
        <v>109</v>
      </c>
      <c r="C104" t="s">
        <v>7</v>
      </c>
      <c r="D104" s="1">
        <v>45021</v>
      </c>
      <c r="E104" t="s">
        <v>8</v>
      </c>
      <c r="F104" s="2">
        <v>45074</v>
      </c>
      <c r="G104">
        <v>99</v>
      </c>
    </row>
    <row r="105" spans="2:7">
      <c r="B105" t="s">
        <v>110</v>
      </c>
      <c r="C105" t="s">
        <v>16</v>
      </c>
      <c r="D105" s="1">
        <v>45227</v>
      </c>
      <c r="E105" t="s">
        <v>8</v>
      </c>
      <c r="F105" s="2">
        <v>45490</v>
      </c>
      <c r="G105">
        <v>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45C8-9F96-45CB-B60B-35D6281281DF}">
  <dimension ref="B5:L105"/>
  <sheetViews>
    <sheetView workbookViewId="0">
      <selection activeCell="B2" sqref="B2"/>
    </sheetView>
  </sheetViews>
  <sheetFormatPr defaultRowHeight="15"/>
  <cols>
    <col min="2" max="2" width="18.42578125" bestFit="1" customWidth="1"/>
    <col min="3" max="3" width="9.85546875" style="5" bestFit="1" customWidth="1"/>
    <col min="4" max="4" width="19.5703125" style="16" bestFit="1" customWidth="1"/>
    <col min="5" max="5" width="36" style="18" bestFit="1" customWidth="1"/>
    <col min="6" max="6" width="14.85546875" style="8" customWidth="1"/>
    <col min="7" max="7" width="18.7109375" style="16" bestFit="1" customWidth="1"/>
    <col min="8" max="8" width="30.42578125" style="14" bestFit="1" customWidth="1"/>
    <col min="9" max="9" width="18.7109375" style="8" bestFit="1" customWidth="1"/>
    <col min="10" max="10" width="31.5703125" style="12" bestFit="1" customWidth="1"/>
  </cols>
  <sheetData>
    <row r="5" spans="2:12" ht="15.75">
      <c r="B5" s="3" t="s">
        <v>111</v>
      </c>
      <c r="C5" s="4" t="s">
        <v>112</v>
      </c>
      <c r="D5" s="15" t="s">
        <v>113</v>
      </c>
      <c r="E5" s="17" t="s">
        <v>114</v>
      </c>
      <c r="F5" s="7" t="s">
        <v>115</v>
      </c>
      <c r="G5" s="15" t="s">
        <v>116</v>
      </c>
      <c r="H5" s="13" t="s">
        <v>117</v>
      </c>
      <c r="I5" s="9" t="s">
        <v>118</v>
      </c>
      <c r="J5" s="11" t="s">
        <v>119</v>
      </c>
    </row>
    <row r="6" spans="2:12">
      <c r="B6" t="s">
        <v>31</v>
      </c>
      <c r="C6" s="5" t="s">
        <v>10</v>
      </c>
      <c r="D6" s="16">
        <v>45279</v>
      </c>
      <c r="E6" s="18">
        <f>_xlfn.DAYS(Table13[[#This Row],[Signup_Date]],D7)</f>
        <v>5</v>
      </c>
      <c r="F6" s="8" t="s">
        <v>14</v>
      </c>
      <c r="H6" s="14" t="s">
        <v>120</v>
      </c>
      <c r="I6" s="8" t="str">
        <f>IF(Table13[[#This Row],[Churn_Date]]="","Active","Not Active")</f>
        <v>Active</v>
      </c>
      <c r="J6" s="12">
        <v>99</v>
      </c>
    </row>
    <row r="7" spans="2:12">
      <c r="B7" t="s">
        <v>15</v>
      </c>
      <c r="C7" s="5" t="s">
        <v>16</v>
      </c>
      <c r="D7" s="16">
        <v>45274</v>
      </c>
      <c r="E7" s="18">
        <f>_xlfn.DAYS(Table13[[#This Row],[Signup_Date]],D8)</f>
        <v>3</v>
      </c>
      <c r="F7" s="8" t="s">
        <v>14</v>
      </c>
      <c r="H7" s="14" t="s">
        <v>120</v>
      </c>
      <c r="I7" s="8" t="str">
        <f>IF(Table13[[#This Row],[Churn_Date]]="","Active","Not Active")</f>
        <v>Active</v>
      </c>
      <c r="J7" s="12">
        <v>29</v>
      </c>
      <c r="L7" s="6"/>
    </row>
    <row r="8" spans="2:12">
      <c r="B8" t="s">
        <v>65</v>
      </c>
      <c r="C8" s="5" t="s">
        <v>10</v>
      </c>
      <c r="D8" s="16">
        <v>45271</v>
      </c>
      <c r="E8" s="18">
        <f>_xlfn.DAYS(Table13[[#This Row],[Signup_Date]],D9)</f>
        <v>13</v>
      </c>
      <c r="F8" s="8" t="s">
        <v>8</v>
      </c>
      <c r="G8" s="16">
        <v>45326</v>
      </c>
      <c r="H8" s="14">
        <v>55</v>
      </c>
      <c r="I8" s="8" t="str">
        <f>IF(Table13[[#This Row],[Churn_Date]]="","Active","Not Active")</f>
        <v>Not Active</v>
      </c>
      <c r="J8" s="12">
        <v>99</v>
      </c>
    </row>
    <row r="9" spans="2:12">
      <c r="B9" t="s">
        <v>100</v>
      </c>
      <c r="C9" s="5" t="s">
        <v>16</v>
      </c>
      <c r="D9" s="16">
        <v>45258</v>
      </c>
      <c r="E9" s="18">
        <f>_xlfn.DAYS(Table13[[#This Row],[Signup_Date]],D10)</f>
        <v>1</v>
      </c>
      <c r="F9" s="8" t="s">
        <v>8</v>
      </c>
      <c r="G9" s="16">
        <v>45656</v>
      </c>
      <c r="H9" s="14">
        <v>398</v>
      </c>
      <c r="I9" s="8" t="str">
        <f>IF(Table13[[#This Row],[Churn_Date]]="","Active","Not Active")</f>
        <v>Not Active</v>
      </c>
      <c r="J9" s="12">
        <v>49</v>
      </c>
    </row>
    <row r="10" spans="2:12">
      <c r="B10" t="s">
        <v>76</v>
      </c>
      <c r="C10" s="5" t="s">
        <v>10</v>
      </c>
      <c r="D10" s="16">
        <v>45257</v>
      </c>
      <c r="E10" s="18">
        <f>_xlfn.DAYS(Table13[[#This Row],[Signup_Date]],D11)</f>
        <v>0</v>
      </c>
      <c r="F10" s="8" t="s">
        <v>14</v>
      </c>
      <c r="H10" s="14" t="s">
        <v>120</v>
      </c>
      <c r="I10" s="8" t="str">
        <f>IF(Table13[[#This Row],[Churn_Date]]="","Active","Not Active")</f>
        <v>Active</v>
      </c>
      <c r="J10" s="12">
        <v>19</v>
      </c>
      <c r="K10" s="10"/>
    </row>
    <row r="11" spans="2:12">
      <c r="B11" t="s">
        <v>94</v>
      </c>
      <c r="C11" s="5" t="s">
        <v>7</v>
      </c>
      <c r="D11" s="16">
        <v>45257</v>
      </c>
      <c r="E11" s="18">
        <f>_xlfn.DAYS(Table13[[#This Row],[Signup_Date]],D12)</f>
        <v>3</v>
      </c>
      <c r="F11" s="8" t="s">
        <v>14</v>
      </c>
      <c r="H11" s="14" t="s">
        <v>120</v>
      </c>
      <c r="I11" s="8" t="str">
        <f>IF(Table13[[#This Row],[Churn_Date]]="","Active","Not Active")</f>
        <v>Active</v>
      </c>
      <c r="J11" s="12">
        <v>19</v>
      </c>
    </row>
    <row r="12" spans="2:12">
      <c r="B12" t="s">
        <v>103</v>
      </c>
      <c r="C12" s="5" t="s">
        <v>10</v>
      </c>
      <c r="D12" s="16">
        <v>45254</v>
      </c>
      <c r="E12" s="18">
        <f>_xlfn.DAYS(Table13[[#This Row],[Signup_Date]],D13)</f>
        <v>3</v>
      </c>
      <c r="F12" s="8" t="s">
        <v>8</v>
      </c>
      <c r="G12" s="16">
        <v>45599</v>
      </c>
      <c r="H12" s="14">
        <v>345</v>
      </c>
      <c r="I12" s="8" t="str">
        <f>IF(Table13[[#This Row],[Churn_Date]]="","Active","Not Active")</f>
        <v>Not Active</v>
      </c>
      <c r="J12" s="12">
        <v>49</v>
      </c>
    </row>
    <row r="13" spans="2:12">
      <c r="B13" t="s">
        <v>47</v>
      </c>
      <c r="C13" s="5" t="s">
        <v>16</v>
      </c>
      <c r="D13" s="16">
        <v>45251</v>
      </c>
      <c r="E13" s="18">
        <f>_xlfn.DAYS(Table13[[#This Row],[Signup_Date]],D14)</f>
        <v>0</v>
      </c>
      <c r="F13" s="8" t="s">
        <v>14</v>
      </c>
      <c r="H13" s="14" t="s">
        <v>120</v>
      </c>
      <c r="I13" s="8" t="str">
        <f>IF(Table13[[#This Row],[Churn_Date]]="","Active","Not Active")</f>
        <v>Active</v>
      </c>
      <c r="J13" s="12">
        <v>99</v>
      </c>
    </row>
    <row r="14" spans="2:12">
      <c r="B14" t="s">
        <v>79</v>
      </c>
      <c r="C14" s="5" t="s">
        <v>10</v>
      </c>
      <c r="D14" s="16">
        <v>45251</v>
      </c>
      <c r="E14" s="18">
        <f>_xlfn.DAYS(Table13[[#This Row],[Signup_Date]],D15)</f>
        <v>3</v>
      </c>
      <c r="F14" s="8" t="s">
        <v>14</v>
      </c>
      <c r="H14" s="14" t="s">
        <v>120</v>
      </c>
      <c r="I14" s="8" t="str">
        <f>IF(Table13[[#This Row],[Churn_Date]]="","Active","Not Active")</f>
        <v>Active</v>
      </c>
      <c r="J14" s="12">
        <v>99</v>
      </c>
    </row>
    <row r="15" spans="2:12">
      <c r="B15" t="s">
        <v>36</v>
      </c>
      <c r="C15" s="5" t="s">
        <v>10</v>
      </c>
      <c r="D15" s="16">
        <v>45248</v>
      </c>
      <c r="E15" s="18">
        <f>_xlfn.DAYS(Table13[[#This Row],[Signup_Date]],D16)</f>
        <v>4</v>
      </c>
      <c r="F15" s="8" t="s">
        <v>14</v>
      </c>
      <c r="H15" s="14" t="s">
        <v>120</v>
      </c>
      <c r="I15" s="8" t="str">
        <f>IF(Table13[[#This Row],[Churn_Date]]="","Active","Not Active")</f>
        <v>Active</v>
      </c>
      <c r="J15" s="12">
        <v>49</v>
      </c>
    </row>
    <row r="16" spans="2:12">
      <c r="B16" t="s">
        <v>34</v>
      </c>
      <c r="C16" s="5" t="s">
        <v>16</v>
      </c>
      <c r="D16" s="16">
        <v>45244</v>
      </c>
      <c r="E16" s="18">
        <f>_xlfn.DAYS(Table13[[#This Row],[Signup_Date]],D17)</f>
        <v>0</v>
      </c>
      <c r="F16" s="8" t="s">
        <v>8</v>
      </c>
      <c r="G16" s="16">
        <v>45471</v>
      </c>
      <c r="H16" s="14">
        <v>227</v>
      </c>
      <c r="I16" s="8" t="str">
        <f>IF(Table13[[#This Row],[Churn_Date]]="","Active","Not Active")</f>
        <v>Not Active</v>
      </c>
      <c r="J16" s="12">
        <v>99</v>
      </c>
    </row>
    <row r="17" spans="2:10">
      <c r="B17" t="s">
        <v>101</v>
      </c>
      <c r="C17" s="5" t="s">
        <v>16</v>
      </c>
      <c r="D17" s="16">
        <v>45244</v>
      </c>
      <c r="E17" s="18">
        <f>_xlfn.DAYS(Table13[[#This Row],[Signup_Date]],D18)</f>
        <v>3</v>
      </c>
      <c r="F17" s="8" t="s">
        <v>14</v>
      </c>
      <c r="H17" s="14" t="s">
        <v>120</v>
      </c>
      <c r="I17" s="8" t="str">
        <f>IF(Table13[[#This Row],[Churn_Date]]="","Active","Not Active")</f>
        <v>Active</v>
      </c>
      <c r="J17" s="12">
        <v>49</v>
      </c>
    </row>
    <row r="18" spans="2:10">
      <c r="B18" t="s">
        <v>27</v>
      </c>
      <c r="C18" s="5" t="s">
        <v>7</v>
      </c>
      <c r="D18" s="16">
        <v>45241</v>
      </c>
      <c r="E18" s="18">
        <f>_xlfn.DAYS(Table13[[#This Row],[Signup_Date]],D19)</f>
        <v>7</v>
      </c>
      <c r="F18" s="8" t="s">
        <v>8</v>
      </c>
      <c r="G18" s="16">
        <v>45388</v>
      </c>
      <c r="H18" s="14">
        <v>147</v>
      </c>
      <c r="I18" s="8" t="str">
        <f>IF(Table13[[#This Row],[Churn_Date]]="","Active","Not Active")</f>
        <v>Not Active</v>
      </c>
      <c r="J18" s="12">
        <v>49</v>
      </c>
    </row>
    <row r="19" spans="2:10">
      <c r="B19" t="s">
        <v>6</v>
      </c>
      <c r="C19" s="5" t="s">
        <v>7</v>
      </c>
      <c r="D19" s="16">
        <v>45234</v>
      </c>
      <c r="E19" s="18">
        <f>_xlfn.DAYS(Table13[[#This Row],[Signup_Date]],D20)</f>
        <v>1</v>
      </c>
      <c r="F19" s="8" t="s">
        <v>8</v>
      </c>
      <c r="G19" s="16">
        <v>45404</v>
      </c>
      <c r="H19" s="14">
        <v>170</v>
      </c>
      <c r="I19" s="8" t="str">
        <f>IF(Table13[[#This Row],[Churn_Date]]="","Active","Not Active")</f>
        <v>Not Active</v>
      </c>
      <c r="J19" s="12">
        <v>29</v>
      </c>
    </row>
    <row r="20" spans="2:10">
      <c r="B20" t="s">
        <v>107</v>
      </c>
      <c r="C20" s="5" t="s">
        <v>10</v>
      </c>
      <c r="D20" s="16">
        <v>45233</v>
      </c>
      <c r="E20" s="18">
        <f>_xlfn.DAYS(Table13[[#This Row],[Signup_Date]],D21)</f>
        <v>6</v>
      </c>
      <c r="F20" s="8" t="s">
        <v>14</v>
      </c>
      <c r="H20" s="14" t="s">
        <v>120</v>
      </c>
      <c r="I20" s="8" t="str">
        <f>IF(Table13[[#This Row],[Churn_Date]]="","Active","Not Active")</f>
        <v>Active</v>
      </c>
      <c r="J20" s="12">
        <v>49</v>
      </c>
    </row>
    <row r="21" spans="2:10">
      <c r="B21" t="s">
        <v>110</v>
      </c>
      <c r="C21" s="5" t="s">
        <v>16</v>
      </c>
      <c r="D21" s="16">
        <v>45227</v>
      </c>
      <c r="E21" s="18">
        <f>_xlfn.DAYS(Table13[[#This Row],[Signup_Date]],D22)</f>
        <v>7</v>
      </c>
      <c r="F21" s="8" t="s">
        <v>8</v>
      </c>
      <c r="G21" s="16">
        <v>45490</v>
      </c>
      <c r="H21" s="14">
        <v>263</v>
      </c>
      <c r="I21" s="8" t="str">
        <f>IF(Table13[[#This Row],[Churn_Date]]="","Active","Not Active")</f>
        <v>Not Active</v>
      </c>
      <c r="J21" s="12">
        <v>29</v>
      </c>
    </row>
    <row r="22" spans="2:10">
      <c r="B22" t="s">
        <v>25</v>
      </c>
      <c r="C22" s="5" t="s">
        <v>10</v>
      </c>
      <c r="D22" s="16">
        <v>45220</v>
      </c>
      <c r="E22" s="18">
        <f>_xlfn.DAYS(Table13[[#This Row],[Signup_Date]],D23)</f>
        <v>3</v>
      </c>
      <c r="F22" s="8" t="s">
        <v>8</v>
      </c>
      <c r="G22" s="16">
        <v>45523</v>
      </c>
      <c r="H22" s="14">
        <v>303</v>
      </c>
      <c r="I22" s="8" t="str">
        <f>IF(Table13[[#This Row],[Churn_Date]]="","Active","Not Active")</f>
        <v>Not Active</v>
      </c>
      <c r="J22" s="12">
        <v>29</v>
      </c>
    </row>
    <row r="23" spans="2:10">
      <c r="B23" t="s">
        <v>49</v>
      </c>
      <c r="C23" s="5" t="s">
        <v>7</v>
      </c>
      <c r="D23" s="16">
        <v>45217</v>
      </c>
      <c r="E23" s="18">
        <f>_xlfn.DAYS(Table13[[#This Row],[Signup_Date]],D24)</f>
        <v>4</v>
      </c>
      <c r="F23" s="8" t="s">
        <v>8</v>
      </c>
      <c r="G23" s="16">
        <v>45548</v>
      </c>
      <c r="H23" s="14">
        <v>331</v>
      </c>
      <c r="I23" s="8" t="str">
        <f>IF(Table13[[#This Row],[Churn_Date]]="","Active","Not Active")</f>
        <v>Not Active</v>
      </c>
      <c r="J23" s="12">
        <v>19</v>
      </c>
    </row>
    <row r="24" spans="2:10">
      <c r="B24" t="s">
        <v>11</v>
      </c>
      <c r="C24" s="5" t="s">
        <v>7</v>
      </c>
      <c r="D24" s="16">
        <v>45213</v>
      </c>
      <c r="E24" s="18">
        <f>_xlfn.DAYS(Table13[[#This Row],[Signup_Date]],D25)</f>
        <v>0</v>
      </c>
      <c r="F24" s="8" t="s">
        <v>8</v>
      </c>
      <c r="G24" s="16">
        <v>45258</v>
      </c>
      <c r="H24" s="14">
        <v>45</v>
      </c>
      <c r="I24" s="8" t="str">
        <f>IF(Table13[[#This Row],[Churn_Date]]="","Active","Not Active")</f>
        <v>Not Active</v>
      </c>
      <c r="J24" s="12">
        <v>29</v>
      </c>
    </row>
    <row r="25" spans="2:10">
      <c r="B25" t="s">
        <v>96</v>
      </c>
      <c r="C25" s="5" t="s">
        <v>10</v>
      </c>
      <c r="D25" s="16">
        <v>45213</v>
      </c>
      <c r="E25" s="18">
        <f>_xlfn.DAYS(Table13[[#This Row],[Signup_Date]],D26)</f>
        <v>3</v>
      </c>
      <c r="F25" s="8" t="s">
        <v>14</v>
      </c>
      <c r="H25" s="14" t="s">
        <v>120</v>
      </c>
      <c r="I25" s="8" t="str">
        <f>IF(Table13[[#This Row],[Churn_Date]]="","Active","Not Active")</f>
        <v>Active</v>
      </c>
      <c r="J25" s="12">
        <v>49</v>
      </c>
    </row>
    <row r="26" spans="2:10">
      <c r="B26" t="s">
        <v>41</v>
      </c>
      <c r="C26" s="5" t="s">
        <v>7</v>
      </c>
      <c r="D26" s="16">
        <v>45210</v>
      </c>
      <c r="E26" s="18">
        <f>_xlfn.DAYS(Table13[[#This Row],[Signup_Date]],D27)</f>
        <v>4</v>
      </c>
      <c r="F26" s="8" t="s">
        <v>14</v>
      </c>
      <c r="H26" s="14" t="s">
        <v>120</v>
      </c>
      <c r="I26" s="8" t="str">
        <f>IF(Table13[[#This Row],[Churn_Date]]="","Active","Not Active")</f>
        <v>Active</v>
      </c>
      <c r="J26" s="12">
        <v>19</v>
      </c>
    </row>
    <row r="27" spans="2:10">
      <c r="B27" t="s">
        <v>21</v>
      </c>
      <c r="C27" s="5" t="s">
        <v>10</v>
      </c>
      <c r="D27" s="16">
        <v>45206</v>
      </c>
      <c r="E27" s="18">
        <f>_xlfn.DAYS(Table13[[#This Row],[Signup_Date]],D28)</f>
        <v>4</v>
      </c>
      <c r="F27" s="8" t="s">
        <v>8</v>
      </c>
      <c r="G27" s="16">
        <v>45259</v>
      </c>
      <c r="H27" s="14">
        <v>53</v>
      </c>
      <c r="I27" s="8" t="str">
        <f>IF(Table13[[#This Row],[Churn_Date]]="","Active","Not Active")</f>
        <v>Not Active</v>
      </c>
      <c r="J27" s="12">
        <v>29</v>
      </c>
    </row>
    <row r="28" spans="2:10">
      <c r="B28" t="s">
        <v>69</v>
      </c>
      <c r="C28" s="5" t="s">
        <v>10</v>
      </c>
      <c r="D28" s="16">
        <v>45202</v>
      </c>
      <c r="E28" s="18">
        <f>_xlfn.DAYS(Table13[[#This Row],[Signup_Date]],D29)</f>
        <v>5</v>
      </c>
      <c r="F28" s="8" t="s">
        <v>14</v>
      </c>
      <c r="H28" s="14" t="s">
        <v>120</v>
      </c>
      <c r="I28" s="8" t="str">
        <f>IF(Table13[[#This Row],[Churn_Date]]="","Active","Not Active")</f>
        <v>Active</v>
      </c>
      <c r="J28" s="12">
        <v>49</v>
      </c>
    </row>
    <row r="29" spans="2:10">
      <c r="B29" t="s">
        <v>66</v>
      </c>
      <c r="C29" s="5" t="s">
        <v>10</v>
      </c>
      <c r="D29" s="16">
        <v>45197</v>
      </c>
      <c r="E29" s="18">
        <f>_xlfn.DAYS(Table13[[#This Row],[Signup_Date]],D30)</f>
        <v>0</v>
      </c>
      <c r="F29" s="8" t="s">
        <v>8</v>
      </c>
      <c r="G29" s="16">
        <v>45256</v>
      </c>
      <c r="H29" s="14">
        <v>59</v>
      </c>
      <c r="I29" s="8" t="str">
        <f>IF(Table13[[#This Row],[Churn_Date]]="","Active","Not Active")</f>
        <v>Not Active</v>
      </c>
      <c r="J29" s="12">
        <v>19</v>
      </c>
    </row>
    <row r="30" spans="2:10">
      <c r="B30" t="s">
        <v>87</v>
      </c>
      <c r="C30" s="5" t="s">
        <v>10</v>
      </c>
      <c r="D30" s="16">
        <v>45197</v>
      </c>
      <c r="E30" s="18">
        <f>_xlfn.DAYS(Table13[[#This Row],[Signup_Date]],D31)</f>
        <v>19</v>
      </c>
      <c r="F30" s="8" t="s">
        <v>14</v>
      </c>
      <c r="H30" s="14" t="s">
        <v>120</v>
      </c>
      <c r="I30" s="8" t="str">
        <f>IF(Table13[[#This Row],[Churn_Date]]="","Active","Not Active")</f>
        <v>Active</v>
      </c>
      <c r="J30" s="12">
        <v>29</v>
      </c>
    </row>
    <row r="31" spans="2:10">
      <c r="B31" t="s">
        <v>35</v>
      </c>
      <c r="C31" s="5" t="s">
        <v>10</v>
      </c>
      <c r="D31" s="16">
        <v>45178</v>
      </c>
      <c r="E31" s="18">
        <f>_xlfn.DAYS(Table13[[#This Row],[Signup_Date]],D32)</f>
        <v>3</v>
      </c>
      <c r="F31" s="8" t="s">
        <v>8</v>
      </c>
      <c r="G31" s="16">
        <v>45556</v>
      </c>
      <c r="H31" s="14">
        <v>378</v>
      </c>
      <c r="I31" s="8" t="str">
        <f>IF(Table13[[#This Row],[Churn_Date]]="","Active","Not Active")</f>
        <v>Not Active</v>
      </c>
      <c r="J31" s="12">
        <v>19</v>
      </c>
    </row>
    <row r="32" spans="2:10">
      <c r="B32" t="s">
        <v>45</v>
      </c>
      <c r="C32" s="5" t="s">
        <v>10</v>
      </c>
      <c r="D32" s="16">
        <v>45175</v>
      </c>
      <c r="E32" s="18">
        <f>_xlfn.DAYS(Table13[[#This Row],[Signup_Date]],D33)</f>
        <v>1</v>
      </c>
      <c r="F32" s="8" t="s">
        <v>14</v>
      </c>
      <c r="H32" s="14" t="s">
        <v>120</v>
      </c>
      <c r="I32" s="8" t="str">
        <f>IF(Table13[[#This Row],[Churn_Date]]="","Active","Not Active")</f>
        <v>Active</v>
      </c>
      <c r="J32" s="12">
        <v>99</v>
      </c>
    </row>
    <row r="33" spans="2:10">
      <c r="B33" t="s">
        <v>102</v>
      </c>
      <c r="C33" s="5" t="s">
        <v>10</v>
      </c>
      <c r="D33" s="16">
        <v>45174</v>
      </c>
      <c r="E33" s="18">
        <f>_xlfn.DAYS(Table13[[#This Row],[Signup_Date]],D34)</f>
        <v>1</v>
      </c>
      <c r="F33" s="8" t="s">
        <v>8</v>
      </c>
      <c r="G33" s="16">
        <v>45419</v>
      </c>
      <c r="H33" s="14">
        <v>245</v>
      </c>
      <c r="I33" s="8" t="str">
        <f>IF(Table13[[#This Row],[Churn_Date]]="","Active","Not Active")</f>
        <v>Not Active</v>
      </c>
      <c r="J33" s="12">
        <v>99</v>
      </c>
    </row>
    <row r="34" spans="2:10">
      <c r="B34" t="s">
        <v>39</v>
      </c>
      <c r="C34" s="5" t="s">
        <v>10</v>
      </c>
      <c r="D34" s="16">
        <v>45173</v>
      </c>
      <c r="E34" s="18">
        <f>_xlfn.DAYS(Table13[[#This Row],[Signup_Date]],D35)</f>
        <v>2</v>
      </c>
      <c r="F34" s="8" t="s">
        <v>14</v>
      </c>
      <c r="H34" s="14" t="s">
        <v>120</v>
      </c>
      <c r="I34" s="8" t="str">
        <f>IF(Table13[[#This Row],[Churn_Date]]="","Active","Not Active")</f>
        <v>Active</v>
      </c>
      <c r="J34" s="12">
        <v>29</v>
      </c>
    </row>
    <row r="35" spans="2:10">
      <c r="B35" t="s">
        <v>84</v>
      </c>
      <c r="C35" s="5" t="s">
        <v>10</v>
      </c>
      <c r="D35" s="16">
        <v>45171</v>
      </c>
      <c r="E35" s="18">
        <f>_xlfn.DAYS(Table13[[#This Row],[Signup_Date]],D36)</f>
        <v>1</v>
      </c>
      <c r="F35" s="8" t="s">
        <v>14</v>
      </c>
      <c r="H35" s="14" t="s">
        <v>120</v>
      </c>
      <c r="I35" s="8" t="str">
        <f>IF(Table13[[#This Row],[Churn_Date]]="","Active","Not Active")</f>
        <v>Active</v>
      </c>
      <c r="J35" s="12">
        <v>29</v>
      </c>
    </row>
    <row r="36" spans="2:10">
      <c r="B36" t="s">
        <v>83</v>
      </c>
      <c r="C36" s="5" t="s">
        <v>10</v>
      </c>
      <c r="D36" s="16">
        <v>45170</v>
      </c>
      <c r="E36" s="18">
        <f>_xlfn.DAYS(Table13[[#This Row],[Signup_Date]],D37)</f>
        <v>5</v>
      </c>
      <c r="F36" s="8" t="s">
        <v>8</v>
      </c>
      <c r="G36" s="16">
        <v>45238</v>
      </c>
      <c r="H36" s="14">
        <v>68</v>
      </c>
      <c r="I36" s="8" t="str">
        <f>IF(Table13[[#This Row],[Churn_Date]]="","Active","Not Active")</f>
        <v>Not Active</v>
      </c>
      <c r="J36" s="12">
        <v>29</v>
      </c>
    </row>
    <row r="37" spans="2:10">
      <c r="B37" t="s">
        <v>75</v>
      </c>
      <c r="C37" s="5" t="s">
        <v>10</v>
      </c>
      <c r="D37" s="16">
        <v>45165</v>
      </c>
      <c r="E37" s="18">
        <f>_xlfn.DAYS(Table13[[#This Row],[Signup_Date]],D38)</f>
        <v>1</v>
      </c>
      <c r="F37" s="8" t="s">
        <v>14</v>
      </c>
      <c r="H37" s="14" t="s">
        <v>120</v>
      </c>
      <c r="I37" s="8" t="str">
        <f>IF(Table13[[#This Row],[Churn_Date]]="","Active","Not Active")</f>
        <v>Active</v>
      </c>
      <c r="J37" s="12">
        <v>19</v>
      </c>
    </row>
    <row r="38" spans="2:10">
      <c r="B38" t="s">
        <v>59</v>
      </c>
      <c r="C38" s="5" t="s">
        <v>10</v>
      </c>
      <c r="D38" s="16">
        <v>45164</v>
      </c>
      <c r="E38" s="18">
        <f>_xlfn.DAYS(Table13[[#This Row],[Signup_Date]],D39)</f>
        <v>4</v>
      </c>
      <c r="F38" s="8" t="s">
        <v>8</v>
      </c>
      <c r="G38" s="16">
        <v>45219</v>
      </c>
      <c r="H38" s="14">
        <v>55</v>
      </c>
      <c r="I38" s="8" t="str">
        <f>IF(Table13[[#This Row],[Churn_Date]]="","Active","Not Active")</f>
        <v>Not Active</v>
      </c>
      <c r="J38" s="12">
        <v>19</v>
      </c>
    </row>
    <row r="39" spans="2:10">
      <c r="B39" t="s">
        <v>106</v>
      </c>
      <c r="C39" s="5" t="s">
        <v>16</v>
      </c>
      <c r="D39" s="16">
        <v>45160</v>
      </c>
      <c r="E39" s="18">
        <f>_xlfn.DAYS(Table13[[#This Row],[Signup_Date]],D40)</f>
        <v>1</v>
      </c>
      <c r="F39" s="8" t="s">
        <v>8</v>
      </c>
      <c r="G39" s="16">
        <v>45451</v>
      </c>
      <c r="H39" s="14">
        <v>291</v>
      </c>
      <c r="I39" s="8" t="str">
        <f>IF(Table13[[#This Row],[Churn_Date]]="","Active","Not Active")</f>
        <v>Not Active</v>
      </c>
      <c r="J39" s="12">
        <v>29</v>
      </c>
    </row>
    <row r="40" spans="2:10">
      <c r="B40" t="s">
        <v>23</v>
      </c>
      <c r="C40" s="5" t="s">
        <v>7</v>
      </c>
      <c r="D40" s="16">
        <v>45159</v>
      </c>
      <c r="E40" s="18">
        <f>_xlfn.DAYS(Table13[[#This Row],[Signup_Date]],D41)</f>
        <v>14</v>
      </c>
      <c r="F40" s="8" t="s">
        <v>14</v>
      </c>
      <c r="H40" s="14" t="s">
        <v>120</v>
      </c>
      <c r="I40" s="8" t="str">
        <f>IF(Table13[[#This Row],[Churn_Date]]="","Active","Not Active")</f>
        <v>Active</v>
      </c>
      <c r="J40" s="12">
        <v>49</v>
      </c>
    </row>
    <row r="41" spans="2:10">
      <c r="B41" t="s">
        <v>61</v>
      </c>
      <c r="C41" s="5" t="s">
        <v>7</v>
      </c>
      <c r="D41" s="16">
        <v>45145</v>
      </c>
      <c r="E41" s="18">
        <f>_xlfn.DAYS(Table13[[#This Row],[Signup_Date]],D42)</f>
        <v>12</v>
      </c>
      <c r="F41" s="8" t="s">
        <v>14</v>
      </c>
      <c r="H41" s="14" t="s">
        <v>120</v>
      </c>
      <c r="I41" s="8" t="str">
        <f>IF(Table13[[#This Row],[Churn_Date]]="","Active","Not Active")</f>
        <v>Active</v>
      </c>
      <c r="J41" s="12">
        <v>29</v>
      </c>
    </row>
    <row r="42" spans="2:10">
      <c r="B42" t="s">
        <v>105</v>
      </c>
      <c r="C42" s="5" t="s">
        <v>16</v>
      </c>
      <c r="D42" s="16">
        <v>45133</v>
      </c>
      <c r="E42" s="18">
        <f>_xlfn.DAYS(Table13[[#This Row],[Signup_Date]],D43)</f>
        <v>6</v>
      </c>
      <c r="F42" s="8" t="s">
        <v>14</v>
      </c>
      <c r="H42" s="14" t="s">
        <v>120</v>
      </c>
      <c r="I42" s="8" t="str">
        <f>IF(Table13[[#This Row],[Churn_Date]]="","Active","Not Active")</f>
        <v>Active</v>
      </c>
      <c r="J42" s="12">
        <v>99</v>
      </c>
    </row>
    <row r="43" spans="2:10">
      <c r="B43" t="s">
        <v>97</v>
      </c>
      <c r="C43" s="5" t="s">
        <v>10</v>
      </c>
      <c r="D43" s="16">
        <v>45127</v>
      </c>
      <c r="E43" s="18">
        <f>_xlfn.DAYS(Table13[[#This Row],[Signup_Date]],D44)</f>
        <v>2</v>
      </c>
      <c r="F43" s="8" t="s">
        <v>8</v>
      </c>
      <c r="G43" s="16">
        <v>45354</v>
      </c>
      <c r="H43" s="14">
        <v>227</v>
      </c>
      <c r="I43" s="8" t="str">
        <f>IF(Table13[[#This Row],[Churn_Date]]="","Active","Not Active")</f>
        <v>Not Active</v>
      </c>
      <c r="J43" s="12">
        <v>29</v>
      </c>
    </row>
    <row r="44" spans="2:10">
      <c r="B44" t="s">
        <v>104</v>
      </c>
      <c r="C44" s="5" t="s">
        <v>16</v>
      </c>
      <c r="D44" s="16">
        <v>45125</v>
      </c>
      <c r="E44" s="18">
        <f>_xlfn.DAYS(Table13[[#This Row],[Signup_Date]],D45)</f>
        <v>3</v>
      </c>
      <c r="F44" s="8" t="s">
        <v>8</v>
      </c>
      <c r="G44" s="16">
        <v>45310</v>
      </c>
      <c r="H44" s="14">
        <v>185</v>
      </c>
      <c r="I44" s="8" t="str">
        <f>IF(Table13[[#This Row],[Churn_Date]]="","Active","Not Active")</f>
        <v>Not Active</v>
      </c>
      <c r="J44" s="12">
        <v>29</v>
      </c>
    </row>
    <row r="45" spans="2:10">
      <c r="B45" t="s">
        <v>55</v>
      </c>
      <c r="C45" s="5" t="s">
        <v>10</v>
      </c>
      <c r="D45" s="16">
        <v>45122</v>
      </c>
      <c r="E45" s="18">
        <f>_xlfn.DAYS(Table13[[#This Row],[Signup_Date]],D46)</f>
        <v>6</v>
      </c>
      <c r="F45" s="8" t="s">
        <v>8</v>
      </c>
      <c r="G45" s="16">
        <v>45496</v>
      </c>
      <c r="H45" s="14">
        <v>374</v>
      </c>
      <c r="I45" s="8" t="str">
        <f>IF(Table13[[#This Row],[Churn_Date]]="","Active","Not Active")</f>
        <v>Not Active</v>
      </c>
      <c r="J45" s="12">
        <v>19</v>
      </c>
    </row>
    <row r="46" spans="2:10">
      <c r="B46" t="s">
        <v>28</v>
      </c>
      <c r="C46" s="5" t="s">
        <v>10</v>
      </c>
      <c r="D46" s="16">
        <v>45116</v>
      </c>
      <c r="E46" s="18">
        <f>_xlfn.DAYS(Table13[[#This Row],[Signup_Date]],D47)</f>
        <v>4</v>
      </c>
      <c r="F46" s="8" t="s">
        <v>8</v>
      </c>
      <c r="G46" s="16">
        <v>45254</v>
      </c>
      <c r="H46" s="14">
        <v>138</v>
      </c>
      <c r="I46" s="8" t="str">
        <f>IF(Table13[[#This Row],[Churn_Date]]="","Active","Not Active")</f>
        <v>Not Active</v>
      </c>
      <c r="J46" s="12">
        <v>49</v>
      </c>
    </row>
    <row r="47" spans="2:10">
      <c r="B47" t="s">
        <v>85</v>
      </c>
      <c r="C47" s="5" t="s">
        <v>16</v>
      </c>
      <c r="D47" s="16">
        <v>45112</v>
      </c>
      <c r="E47" s="18">
        <f>_xlfn.DAYS(Table13[[#This Row],[Signup_Date]],D48)</f>
        <v>0</v>
      </c>
      <c r="F47" s="8" t="s">
        <v>8</v>
      </c>
      <c r="G47" s="16">
        <v>45299</v>
      </c>
      <c r="H47" s="14">
        <v>187</v>
      </c>
      <c r="I47" s="8" t="str">
        <f>IF(Table13[[#This Row],[Churn_Date]]="","Active","Not Active")</f>
        <v>Not Active</v>
      </c>
      <c r="J47" s="12">
        <v>19</v>
      </c>
    </row>
    <row r="48" spans="2:10">
      <c r="B48" t="s">
        <v>71</v>
      </c>
      <c r="C48" s="5" t="s">
        <v>16</v>
      </c>
      <c r="D48" s="16">
        <v>45112</v>
      </c>
      <c r="E48" s="18">
        <f>_xlfn.DAYS(Table13[[#This Row],[Signup_Date]],D49)</f>
        <v>1</v>
      </c>
      <c r="F48" s="8" t="s">
        <v>14</v>
      </c>
      <c r="H48" s="14" t="s">
        <v>120</v>
      </c>
      <c r="I48" s="8" t="str">
        <f>IF(Table13[[#This Row],[Churn_Date]]="","Active","Not Active")</f>
        <v>Active</v>
      </c>
      <c r="J48" s="12">
        <v>49</v>
      </c>
    </row>
    <row r="49" spans="2:10">
      <c r="B49" t="s">
        <v>18</v>
      </c>
      <c r="C49" s="5" t="s">
        <v>16</v>
      </c>
      <c r="D49" s="16">
        <v>45111</v>
      </c>
      <c r="E49" s="18">
        <f>_xlfn.DAYS(Table13[[#This Row],[Signup_Date]],D50)</f>
        <v>1</v>
      </c>
      <c r="F49" s="8" t="s">
        <v>14</v>
      </c>
      <c r="H49" s="14" t="s">
        <v>120</v>
      </c>
      <c r="I49" s="8" t="str">
        <f>IF(Table13[[#This Row],[Churn_Date]]="","Active","Not Active")</f>
        <v>Active</v>
      </c>
      <c r="J49" s="12">
        <v>49</v>
      </c>
    </row>
    <row r="50" spans="2:10">
      <c r="B50" t="s">
        <v>20</v>
      </c>
      <c r="C50" s="5" t="s">
        <v>10</v>
      </c>
      <c r="D50" s="16">
        <v>45110</v>
      </c>
      <c r="E50" s="18">
        <f>_xlfn.DAYS(Table13[[#This Row],[Signup_Date]],D51)</f>
        <v>2</v>
      </c>
      <c r="F50" s="8" t="s">
        <v>14</v>
      </c>
      <c r="H50" s="14" t="s">
        <v>120</v>
      </c>
      <c r="I50" s="8" t="str">
        <f>IF(Table13[[#This Row],[Churn_Date]]="","Active","Not Active")</f>
        <v>Active</v>
      </c>
      <c r="J50" s="12">
        <v>49</v>
      </c>
    </row>
    <row r="51" spans="2:10">
      <c r="B51" t="s">
        <v>62</v>
      </c>
      <c r="C51" s="5" t="s">
        <v>16</v>
      </c>
      <c r="D51" s="16">
        <v>45108</v>
      </c>
      <c r="E51" s="18">
        <f>_xlfn.DAYS(Table13[[#This Row],[Signup_Date]],D52)</f>
        <v>4</v>
      </c>
      <c r="F51" s="8" t="s">
        <v>14</v>
      </c>
      <c r="H51" s="14" t="s">
        <v>120</v>
      </c>
      <c r="I51" s="8" t="str">
        <f>IF(Table13[[#This Row],[Churn_Date]]="","Active","Not Active")</f>
        <v>Active</v>
      </c>
      <c r="J51" s="12">
        <v>99</v>
      </c>
    </row>
    <row r="52" spans="2:10">
      <c r="B52" t="s">
        <v>42</v>
      </c>
      <c r="C52" s="5" t="s">
        <v>7</v>
      </c>
      <c r="D52" s="16">
        <v>45104</v>
      </c>
      <c r="E52" s="18">
        <f>_xlfn.DAYS(Table13[[#This Row],[Signup_Date]],D53)</f>
        <v>13</v>
      </c>
      <c r="F52" s="8" t="s">
        <v>14</v>
      </c>
      <c r="H52" s="14" t="s">
        <v>120</v>
      </c>
      <c r="I52" s="8" t="str">
        <f>IF(Table13[[#This Row],[Churn_Date]]="","Active","Not Active")</f>
        <v>Active</v>
      </c>
      <c r="J52" s="12">
        <v>19</v>
      </c>
    </row>
    <row r="53" spans="2:10">
      <c r="B53" t="s">
        <v>99</v>
      </c>
      <c r="C53" s="5" t="s">
        <v>16</v>
      </c>
      <c r="D53" s="16">
        <v>45091</v>
      </c>
      <c r="E53" s="18">
        <f>_xlfn.DAYS(Table13[[#This Row],[Signup_Date]],D54)</f>
        <v>5</v>
      </c>
      <c r="F53" s="8" t="s">
        <v>8</v>
      </c>
      <c r="G53" s="16">
        <v>45461</v>
      </c>
      <c r="H53" s="14">
        <v>370</v>
      </c>
      <c r="I53" s="8" t="str">
        <f>IF(Table13[[#This Row],[Churn_Date]]="","Active","Not Active")</f>
        <v>Not Active</v>
      </c>
      <c r="J53" s="12">
        <v>49</v>
      </c>
    </row>
    <row r="54" spans="2:10">
      <c r="B54" t="s">
        <v>93</v>
      </c>
      <c r="C54" s="5" t="s">
        <v>16</v>
      </c>
      <c r="D54" s="16">
        <v>45086</v>
      </c>
      <c r="E54" s="18">
        <f>_xlfn.DAYS(Table13[[#This Row],[Signup_Date]],D55)</f>
        <v>1</v>
      </c>
      <c r="F54" s="8" t="s">
        <v>8</v>
      </c>
      <c r="G54" s="16">
        <v>45258</v>
      </c>
      <c r="H54" s="14">
        <v>172</v>
      </c>
      <c r="I54" s="8" t="str">
        <f>IF(Table13[[#This Row],[Churn_Date]]="","Active","Not Active")</f>
        <v>Not Active</v>
      </c>
      <c r="J54" s="12">
        <v>99</v>
      </c>
    </row>
    <row r="55" spans="2:10">
      <c r="B55" t="s">
        <v>32</v>
      </c>
      <c r="C55" s="5" t="s">
        <v>16</v>
      </c>
      <c r="D55" s="16">
        <v>45085</v>
      </c>
      <c r="E55" s="18">
        <f>_xlfn.DAYS(Table13[[#This Row],[Signup_Date]],D56)</f>
        <v>1</v>
      </c>
      <c r="F55" s="8" t="s">
        <v>8</v>
      </c>
      <c r="G55" s="16">
        <v>45375</v>
      </c>
      <c r="H55" s="14">
        <v>290</v>
      </c>
      <c r="I55" s="8" t="str">
        <f>IF(Table13[[#This Row],[Churn_Date]]="","Active","Not Active")</f>
        <v>Not Active</v>
      </c>
      <c r="J55" s="12">
        <v>19</v>
      </c>
    </row>
    <row r="56" spans="2:10">
      <c r="B56" t="s">
        <v>86</v>
      </c>
      <c r="C56" s="5" t="s">
        <v>7</v>
      </c>
      <c r="D56" s="16">
        <v>45084</v>
      </c>
      <c r="E56" s="18">
        <f>_xlfn.DAYS(Table13[[#This Row],[Signup_Date]],D57)</f>
        <v>0</v>
      </c>
      <c r="F56" s="8" t="s">
        <v>8</v>
      </c>
      <c r="G56" s="16">
        <v>45455</v>
      </c>
      <c r="H56" s="14">
        <v>371</v>
      </c>
      <c r="I56" s="8" t="str">
        <f>IF(Table13[[#This Row],[Churn_Date]]="","Active","Not Active")</f>
        <v>Not Active</v>
      </c>
      <c r="J56" s="12">
        <v>49</v>
      </c>
    </row>
    <row r="57" spans="2:10">
      <c r="B57" t="s">
        <v>24</v>
      </c>
      <c r="C57" s="5" t="s">
        <v>10</v>
      </c>
      <c r="D57" s="16">
        <v>45084</v>
      </c>
      <c r="E57" s="18">
        <f>_xlfn.DAYS(Table13[[#This Row],[Signup_Date]],D58)</f>
        <v>4</v>
      </c>
      <c r="F57" s="8" t="s">
        <v>14</v>
      </c>
      <c r="H57" s="14" t="s">
        <v>120</v>
      </c>
      <c r="I57" s="8" t="str">
        <f>IF(Table13[[#This Row],[Churn_Date]]="","Active","Not Active")</f>
        <v>Active</v>
      </c>
      <c r="J57" s="12">
        <v>19</v>
      </c>
    </row>
    <row r="58" spans="2:10">
      <c r="B58" t="s">
        <v>51</v>
      </c>
      <c r="C58" s="5" t="s">
        <v>10</v>
      </c>
      <c r="D58" s="16">
        <v>45080</v>
      </c>
      <c r="E58" s="18">
        <f>_xlfn.DAYS(Table13[[#This Row],[Signup_Date]],D59)</f>
        <v>0</v>
      </c>
      <c r="F58" s="8" t="s">
        <v>8</v>
      </c>
      <c r="G58" s="16">
        <v>45252</v>
      </c>
      <c r="H58" s="14">
        <v>172</v>
      </c>
      <c r="I58" s="8" t="str">
        <f>IF(Table13[[#This Row],[Churn_Date]]="","Active","Not Active")</f>
        <v>Not Active</v>
      </c>
      <c r="J58" s="12">
        <v>99</v>
      </c>
    </row>
    <row r="59" spans="2:10">
      <c r="B59" t="s">
        <v>74</v>
      </c>
      <c r="C59" s="5" t="s">
        <v>16</v>
      </c>
      <c r="D59" s="16">
        <v>45080</v>
      </c>
      <c r="E59" s="18">
        <f>_xlfn.DAYS(Table13[[#This Row],[Signup_Date]],D60)</f>
        <v>6</v>
      </c>
      <c r="F59" s="8" t="s">
        <v>8</v>
      </c>
      <c r="G59" s="16">
        <v>45299</v>
      </c>
      <c r="H59" s="14">
        <v>219</v>
      </c>
      <c r="I59" s="8" t="str">
        <f>IF(Table13[[#This Row],[Churn_Date]]="","Active","Not Active")</f>
        <v>Not Active</v>
      </c>
      <c r="J59" s="12">
        <v>29</v>
      </c>
    </row>
    <row r="60" spans="2:10">
      <c r="B60" t="s">
        <v>80</v>
      </c>
      <c r="C60" s="5" t="s">
        <v>10</v>
      </c>
      <c r="D60" s="16">
        <v>45074</v>
      </c>
      <c r="E60" s="18">
        <f>_xlfn.DAYS(Table13[[#This Row],[Signup_Date]],D61)</f>
        <v>14</v>
      </c>
      <c r="F60" s="8" t="s">
        <v>8</v>
      </c>
      <c r="G60" s="16">
        <v>45151</v>
      </c>
      <c r="H60" s="14">
        <v>77</v>
      </c>
      <c r="I60" s="8" t="str">
        <f>IF(Table13[[#This Row],[Churn_Date]]="","Active","Not Active")</f>
        <v>Not Active</v>
      </c>
      <c r="J60" s="12">
        <v>99</v>
      </c>
    </row>
    <row r="61" spans="2:10">
      <c r="B61" t="s">
        <v>63</v>
      </c>
      <c r="C61" s="5" t="s">
        <v>7</v>
      </c>
      <c r="D61" s="16">
        <v>45060</v>
      </c>
      <c r="E61" s="18">
        <f>_xlfn.DAYS(Table13[[#This Row],[Signup_Date]],D62)</f>
        <v>4</v>
      </c>
      <c r="F61" s="8" t="s">
        <v>14</v>
      </c>
      <c r="H61" s="14" t="s">
        <v>120</v>
      </c>
      <c r="I61" s="8" t="str">
        <f>IF(Table13[[#This Row],[Churn_Date]]="","Active","Not Active")</f>
        <v>Active</v>
      </c>
      <c r="J61" s="12">
        <v>29</v>
      </c>
    </row>
    <row r="62" spans="2:10">
      <c r="B62" t="s">
        <v>78</v>
      </c>
      <c r="C62" s="5" t="s">
        <v>16</v>
      </c>
      <c r="D62" s="16">
        <v>45056</v>
      </c>
      <c r="E62" s="18">
        <f>_xlfn.DAYS(Table13[[#This Row],[Signup_Date]],D63)</f>
        <v>3</v>
      </c>
      <c r="F62" s="8" t="s">
        <v>8</v>
      </c>
      <c r="G62" s="16">
        <v>45453</v>
      </c>
      <c r="H62" s="14">
        <v>397</v>
      </c>
      <c r="I62" s="8" t="str">
        <f>IF(Table13[[#This Row],[Churn_Date]]="","Active","Not Active")</f>
        <v>Not Active</v>
      </c>
      <c r="J62" s="12">
        <v>29</v>
      </c>
    </row>
    <row r="63" spans="2:10">
      <c r="B63" t="s">
        <v>64</v>
      </c>
      <c r="C63" s="5" t="s">
        <v>10</v>
      </c>
      <c r="D63" s="16">
        <v>45053</v>
      </c>
      <c r="E63" s="18">
        <f>_xlfn.DAYS(Table13[[#This Row],[Signup_Date]],D64)</f>
        <v>0</v>
      </c>
      <c r="F63" s="8" t="s">
        <v>8</v>
      </c>
      <c r="G63" s="16">
        <v>45379</v>
      </c>
      <c r="H63" s="14">
        <v>326</v>
      </c>
      <c r="I63" s="8" t="str">
        <f>IF(Table13[[#This Row],[Churn_Date]]="","Active","Not Active")</f>
        <v>Not Active</v>
      </c>
      <c r="J63" s="12">
        <v>19</v>
      </c>
    </row>
    <row r="64" spans="2:10">
      <c r="B64" t="s">
        <v>70</v>
      </c>
      <c r="C64" s="5" t="s">
        <v>7</v>
      </c>
      <c r="D64" s="16">
        <v>45053</v>
      </c>
      <c r="E64" s="18">
        <f>_xlfn.DAYS(Table13[[#This Row],[Signup_Date]],D65)</f>
        <v>1</v>
      </c>
      <c r="F64" s="8" t="s">
        <v>14</v>
      </c>
      <c r="H64" s="14" t="s">
        <v>120</v>
      </c>
      <c r="I64" s="8" t="str">
        <f>IF(Table13[[#This Row],[Churn_Date]]="","Active","Not Active")</f>
        <v>Active</v>
      </c>
      <c r="J64" s="12">
        <v>49</v>
      </c>
    </row>
    <row r="65" spans="2:10">
      <c r="B65" t="s">
        <v>90</v>
      </c>
      <c r="C65" s="5" t="s">
        <v>7</v>
      </c>
      <c r="D65" s="16">
        <v>45052</v>
      </c>
      <c r="E65" s="18">
        <f>_xlfn.DAYS(Table13[[#This Row],[Signup_Date]],D66)</f>
        <v>0</v>
      </c>
      <c r="F65" s="8" t="s">
        <v>8</v>
      </c>
      <c r="G65" s="16">
        <v>45277</v>
      </c>
      <c r="H65" s="14">
        <v>225</v>
      </c>
      <c r="I65" s="8" t="str">
        <f>IF(Table13[[#This Row],[Churn_Date]]="","Active","Not Active")</f>
        <v>Not Active</v>
      </c>
      <c r="J65" s="12">
        <v>99</v>
      </c>
    </row>
    <row r="66" spans="2:10">
      <c r="B66" t="s">
        <v>95</v>
      </c>
      <c r="C66" s="5" t="s">
        <v>7</v>
      </c>
      <c r="D66" s="16">
        <v>45052</v>
      </c>
      <c r="E66" s="18">
        <f>_xlfn.DAYS(Table13[[#This Row],[Signup_Date]],D67)</f>
        <v>3</v>
      </c>
      <c r="F66" s="8" t="s">
        <v>14</v>
      </c>
      <c r="H66" s="14" t="s">
        <v>120</v>
      </c>
      <c r="I66" s="8" t="str">
        <f>IF(Table13[[#This Row],[Churn_Date]]="","Active","Not Active")</f>
        <v>Active</v>
      </c>
      <c r="J66" s="12">
        <v>19</v>
      </c>
    </row>
    <row r="67" spans="2:10">
      <c r="B67" t="s">
        <v>22</v>
      </c>
      <c r="C67" s="5" t="s">
        <v>16</v>
      </c>
      <c r="D67" s="16">
        <v>45049</v>
      </c>
      <c r="E67" s="18">
        <f>_xlfn.DAYS(Table13[[#This Row],[Signup_Date]],D68)</f>
        <v>1</v>
      </c>
      <c r="F67" s="8" t="s">
        <v>8</v>
      </c>
      <c r="G67" s="16">
        <v>45130</v>
      </c>
      <c r="H67" s="14">
        <v>81</v>
      </c>
      <c r="I67" s="8" t="str">
        <f>IF(Table13[[#This Row],[Churn_Date]]="","Active","Not Active")</f>
        <v>Not Active</v>
      </c>
      <c r="J67" s="12">
        <v>49</v>
      </c>
    </row>
    <row r="68" spans="2:10">
      <c r="B68" t="s">
        <v>81</v>
      </c>
      <c r="C68" s="5" t="s">
        <v>7</v>
      </c>
      <c r="D68" s="16">
        <v>45048</v>
      </c>
      <c r="E68" s="18">
        <f>_xlfn.DAYS(Table13[[#This Row],[Signup_Date]],D69)</f>
        <v>0</v>
      </c>
      <c r="F68" s="8" t="s">
        <v>8</v>
      </c>
      <c r="G68" s="16">
        <v>45248</v>
      </c>
      <c r="H68" s="14">
        <v>200</v>
      </c>
      <c r="I68" s="8" t="str">
        <f>IF(Table13[[#This Row],[Churn_Date]]="","Active","Not Active")</f>
        <v>Not Active</v>
      </c>
      <c r="J68" s="12">
        <v>49</v>
      </c>
    </row>
    <row r="69" spans="2:10">
      <c r="B69" t="s">
        <v>98</v>
      </c>
      <c r="C69" s="5" t="s">
        <v>7</v>
      </c>
      <c r="D69" s="16">
        <v>45048</v>
      </c>
      <c r="E69" s="18">
        <f>_xlfn.DAYS(Table13[[#This Row],[Signup_Date]],D70)</f>
        <v>4</v>
      </c>
      <c r="F69" s="8" t="s">
        <v>14</v>
      </c>
      <c r="H69" s="14" t="s">
        <v>120</v>
      </c>
      <c r="I69" s="8" t="str">
        <f>IF(Table13[[#This Row],[Churn_Date]]="","Active","Not Active")</f>
        <v>Active</v>
      </c>
      <c r="J69" s="12">
        <v>29</v>
      </c>
    </row>
    <row r="70" spans="2:10">
      <c r="B70" t="s">
        <v>88</v>
      </c>
      <c r="C70" s="5" t="s">
        <v>16</v>
      </c>
      <c r="D70" s="16">
        <v>45044</v>
      </c>
      <c r="E70" s="18">
        <f>_xlfn.DAYS(Table13[[#This Row],[Signup_Date]],D71)</f>
        <v>2</v>
      </c>
      <c r="F70" s="8" t="s">
        <v>8</v>
      </c>
      <c r="G70" s="16">
        <v>45164</v>
      </c>
      <c r="H70" s="14">
        <v>120</v>
      </c>
      <c r="I70" s="8" t="str">
        <f>IF(Table13[[#This Row],[Churn_Date]]="","Active","Not Active")</f>
        <v>Not Active</v>
      </c>
      <c r="J70" s="12">
        <v>19</v>
      </c>
    </row>
    <row r="71" spans="2:10">
      <c r="B71" t="s">
        <v>53</v>
      </c>
      <c r="C71" s="5" t="s">
        <v>16</v>
      </c>
      <c r="D71" s="16">
        <v>45042</v>
      </c>
      <c r="E71" s="18">
        <f>_xlfn.DAYS(Table13[[#This Row],[Signup_Date]],D72)</f>
        <v>1</v>
      </c>
      <c r="F71" s="8" t="s">
        <v>14</v>
      </c>
      <c r="H71" s="14" t="s">
        <v>120</v>
      </c>
      <c r="I71" s="8" t="str">
        <f>IF(Table13[[#This Row],[Churn_Date]]="","Active","Not Active")</f>
        <v>Active</v>
      </c>
      <c r="J71" s="12">
        <v>29</v>
      </c>
    </row>
    <row r="72" spans="2:10">
      <c r="B72" t="s">
        <v>17</v>
      </c>
      <c r="C72" s="5" t="s">
        <v>7</v>
      </c>
      <c r="D72" s="16">
        <v>45041</v>
      </c>
      <c r="E72" s="18">
        <f>_xlfn.DAYS(Table13[[#This Row],[Signup_Date]],D73)</f>
        <v>4</v>
      </c>
      <c r="F72" s="8" t="s">
        <v>14</v>
      </c>
      <c r="H72" s="14" t="s">
        <v>120</v>
      </c>
      <c r="I72" s="8" t="str">
        <f>IF(Table13[[#This Row],[Churn_Date]]="","Active","Not Active")</f>
        <v>Active</v>
      </c>
      <c r="J72" s="12">
        <v>19</v>
      </c>
    </row>
    <row r="73" spans="2:10">
      <c r="B73" t="s">
        <v>29</v>
      </c>
      <c r="C73" s="5" t="s">
        <v>16</v>
      </c>
      <c r="D73" s="16">
        <v>45037</v>
      </c>
      <c r="E73" s="18">
        <f>_xlfn.DAYS(Table13[[#This Row],[Signup_Date]],D74)</f>
        <v>2</v>
      </c>
      <c r="F73" s="8" t="s">
        <v>14</v>
      </c>
      <c r="H73" s="14" t="s">
        <v>120</v>
      </c>
      <c r="I73" s="8" t="str">
        <f>IF(Table13[[#This Row],[Churn_Date]]="","Active","Not Active")</f>
        <v>Active</v>
      </c>
      <c r="J73" s="12">
        <v>99</v>
      </c>
    </row>
    <row r="74" spans="2:10">
      <c r="B74" t="s">
        <v>43</v>
      </c>
      <c r="C74" s="5" t="s">
        <v>10</v>
      </c>
      <c r="D74" s="16">
        <v>45035</v>
      </c>
      <c r="E74" s="18">
        <f>_xlfn.DAYS(Table13[[#This Row],[Signup_Date]],D75)</f>
        <v>1</v>
      </c>
      <c r="F74" s="8" t="s">
        <v>8</v>
      </c>
      <c r="G74" s="16">
        <v>45108</v>
      </c>
      <c r="H74" s="14">
        <v>73</v>
      </c>
      <c r="I74" s="8" t="str">
        <f>IF(Table13[[#This Row],[Churn_Date]]="","Active","Not Active")</f>
        <v>Not Active</v>
      </c>
      <c r="J74" s="12">
        <v>99</v>
      </c>
    </row>
    <row r="75" spans="2:10">
      <c r="B75" t="s">
        <v>46</v>
      </c>
      <c r="C75" s="5" t="s">
        <v>16</v>
      </c>
      <c r="D75" s="16">
        <v>45034</v>
      </c>
      <c r="E75" s="18">
        <f>_xlfn.DAYS(Table13[[#This Row],[Signup_Date]],D76)</f>
        <v>0</v>
      </c>
      <c r="F75" s="8" t="s">
        <v>8</v>
      </c>
      <c r="G75" s="16">
        <v>45429</v>
      </c>
      <c r="H75" s="14">
        <v>395</v>
      </c>
      <c r="I75" s="8" t="str">
        <f>IF(Table13[[#This Row],[Churn_Date]]="","Active","Not Active")</f>
        <v>Not Active</v>
      </c>
      <c r="J75" s="12">
        <v>99</v>
      </c>
    </row>
    <row r="76" spans="2:10">
      <c r="B76" t="s">
        <v>52</v>
      </c>
      <c r="C76" s="5" t="s">
        <v>10</v>
      </c>
      <c r="D76" s="16">
        <v>45034</v>
      </c>
      <c r="E76" s="18">
        <f>_xlfn.DAYS(Table13[[#This Row],[Signup_Date]],D77)</f>
        <v>1</v>
      </c>
      <c r="F76" s="8" t="s">
        <v>8</v>
      </c>
      <c r="G76" s="16">
        <v>45434</v>
      </c>
      <c r="H76" s="14">
        <v>400</v>
      </c>
      <c r="I76" s="8" t="str">
        <f>IF(Table13[[#This Row],[Churn_Date]]="","Active","Not Active")</f>
        <v>Not Active</v>
      </c>
      <c r="J76" s="12">
        <v>99</v>
      </c>
    </row>
    <row r="77" spans="2:10">
      <c r="B77" t="s">
        <v>12</v>
      </c>
      <c r="C77" s="5" t="s">
        <v>7</v>
      </c>
      <c r="D77" s="16">
        <v>45033</v>
      </c>
      <c r="E77" s="18">
        <f>_xlfn.DAYS(Table13[[#This Row],[Signup_Date]],D78)</f>
        <v>2</v>
      </c>
      <c r="F77" s="8" t="s">
        <v>8</v>
      </c>
      <c r="G77" s="16">
        <v>45350</v>
      </c>
      <c r="H77" s="14">
        <v>317</v>
      </c>
      <c r="I77" s="8" t="str">
        <f>IF(Table13[[#This Row],[Churn_Date]]="","Active","Not Active")</f>
        <v>Not Active</v>
      </c>
      <c r="J77" s="12">
        <v>99</v>
      </c>
    </row>
    <row r="78" spans="2:10">
      <c r="B78" t="s">
        <v>13</v>
      </c>
      <c r="C78" s="5" t="s">
        <v>7</v>
      </c>
      <c r="D78" s="16">
        <v>45031</v>
      </c>
      <c r="E78" s="18">
        <f>_xlfn.DAYS(Table13[[#This Row],[Signup_Date]],D79)</f>
        <v>7</v>
      </c>
      <c r="F78" s="8" t="s">
        <v>14</v>
      </c>
      <c r="H78" s="14" t="s">
        <v>120</v>
      </c>
      <c r="I78" s="8" t="str">
        <f>IF(Table13[[#This Row],[Churn_Date]]="","Active","Not Active")</f>
        <v>Active</v>
      </c>
      <c r="J78" s="12">
        <v>29</v>
      </c>
    </row>
    <row r="79" spans="2:10">
      <c r="B79" t="s">
        <v>92</v>
      </c>
      <c r="C79" s="5" t="s">
        <v>7</v>
      </c>
      <c r="D79" s="16">
        <v>45024</v>
      </c>
      <c r="E79" s="18">
        <f>_xlfn.DAYS(Table13[[#This Row],[Signup_Date]],D80)</f>
        <v>1</v>
      </c>
      <c r="F79" s="8" t="s">
        <v>8</v>
      </c>
      <c r="G79" s="16">
        <v>45391</v>
      </c>
      <c r="H79" s="14">
        <v>367</v>
      </c>
      <c r="I79" s="8" t="str">
        <f>IF(Table13[[#This Row],[Churn_Date]]="","Active","Not Active")</f>
        <v>Not Active</v>
      </c>
      <c r="J79" s="12">
        <v>99</v>
      </c>
    </row>
    <row r="80" spans="2:10">
      <c r="B80" t="s">
        <v>57</v>
      </c>
      <c r="C80" s="5" t="s">
        <v>7</v>
      </c>
      <c r="D80" s="16">
        <v>45023</v>
      </c>
      <c r="E80" s="18">
        <f>_xlfn.DAYS(Table13[[#This Row],[Signup_Date]],D81)</f>
        <v>0</v>
      </c>
      <c r="F80" s="8" t="s">
        <v>14</v>
      </c>
      <c r="H80" s="14" t="s">
        <v>120</v>
      </c>
      <c r="I80" s="8" t="str">
        <f>IF(Table13[[#This Row],[Churn_Date]]="","Active","Not Active")</f>
        <v>Active</v>
      </c>
      <c r="J80" s="12">
        <v>99</v>
      </c>
    </row>
    <row r="81" spans="2:10">
      <c r="B81" t="s">
        <v>91</v>
      </c>
      <c r="C81" s="5" t="s">
        <v>16</v>
      </c>
      <c r="D81" s="16">
        <v>45023</v>
      </c>
      <c r="E81" s="18">
        <f>_xlfn.DAYS(Table13[[#This Row],[Signup_Date]],D82)</f>
        <v>2</v>
      </c>
      <c r="F81" s="8" t="s">
        <v>14</v>
      </c>
      <c r="H81" s="14" t="s">
        <v>120</v>
      </c>
      <c r="I81" s="8" t="str">
        <f>IF(Table13[[#This Row],[Churn_Date]]="","Active","Not Active")</f>
        <v>Active</v>
      </c>
      <c r="J81" s="12">
        <v>49</v>
      </c>
    </row>
    <row r="82" spans="2:10">
      <c r="B82" t="s">
        <v>109</v>
      </c>
      <c r="C82" s="5" t="s">
        <v>7</v>
      </c>
      <c r="D82" s="16">
        <v>45021</v>
      </c>
      <c r="E82" s="18">
        <f>_xlfn.DAYS(Table13[[#This Row],[Signup_Date]],D83)</f>
        <v>12</v>
      </c>
      <c r="F82" s="8" t="s">
        <v>8</v>
      </c>
      <c r="G82" s="16">
        <v>45074</v>
      </c>
      <c r="H82" s="14">
        <v>53</v>
      </c>
      <c r="I82" s="8" t="str">
        <f>IF(Table13[[#This Row],[Churn_Date]]="","Active","Not Active")</f>
        <v>Not Active</v>
      </c>
      <c r="J82" s="12">
        <v>99</v>
      </c>
    </row>
    <row r="83" spans="2:10">
      <c r="B83" t="s">
        <v>9</v>
      </c>
      <c r="C83" s="5" t="s">
        <v>10</v>
      </c>
      <c r="D83" s="16">
        <v>45009</v>
      </c>
      <c r="E83" s="18">
        <f>_xlfn.DAYS(Table13[[#This Row],[Signup_Date]],D84)</f>
        <v>0</v>
      </c>
      <c r="F83" s="8" t="s">
        <v>8</v>
      </c>
      <c r="G83" s="16">
        <v>45385</v>
      </c>
      <c r="H83" s="14">
        <v>376</v>
      </c>
      <c r="I83" s="8" t="str">
        <f>IF(Table13[[#This Row],[Churn_Date]]="","Active","Not Active")</f>
        <v>Not Active</v>
      </c>
      <c r="J83" s="12">
        <v>19</v>
      </c>
    </row>
    <row r="84" spans="2:10">
      <c r="B84" t="s">
        <v>82</v>
      </c>
      <c r="C84" s="5" t="s">
        <v>10</v>
      </c>
      <c r="D84" s="16">
        <v>45009</v>
      </c>
      <c r="E84" s="18">
        <f>_xlfn.DAYS(Table13[[#This Row],[Signup_Date]],D85)</f>
        <v>0</v>
      </c>
      <c r="F84" s="8" t="s">
        <v>14</v>
      </c>
      <c r="H84" s="14" t="s">
        <v>120</v>
      </c>
      <c r="I84" s="8" t="str">
        <f>IF(Table13[[#This Row],[Churn_Date]]="","Active","Not Active")</f>
        <v>Active</v>
      </c>
      <c r="J84" s="12">
        <v>99</v>
      </c>
    </row>
    <row r="85" spans="2:10">
      <c r="B85" t="s">
        <v>89</v>
      </c>
      <c r="C85" s="5" t="s">
        <v>16</v>
      </c>
      <c r="D85" s="16">
        <v>45009</v>
      </c>
      <c r="E85" s="18">
        <f>_xlfn.DAYS(Table13[[#This Row],[Signup_Date]],D86)</f>
        <v>9</v>
      </c>
      <c r="F85" s="8" t="s">
        <v>14</v>
      </c>
      <c r="H85" s="14" t="s">
        <v>120</v>
      </c>
      <c r="I85" s="8" t="str">
        <f>IF(Table13[[#This Row],[Churn_Date]]="","Active","Not Active")</f>
        <v>Active</v>
      </c>
      <c r="J85" s="12">
        <v>29</v>
      </c>
    </row>
    <row r="86" spans="2:10">
      <c r="B86" t="s">
        <v>26</v>
      </c>
      <c r="C86" s="5" t="s">
        <v>16</v>
      </c>
      <c r="D86" s="16">
        <v>45000</v>
      </c>
      <c r="E86" s="18">
        <f>_xlfn.DAYS(Table13[[#This Row],[Signup_Date]],D87)</f>
        <v>3</v>
      </c>
      <c r="F86" s="8" t="s">
        <v>14</v>
      </c>
      <c r="H86" s="14" t="s">
        <v>120</v>
      </c>
      <c r="I86" s="8" t="str">
        <f>IF(Table13[[#This Row],[Churn_Date]]="","Active","Not Active")</f>
        <v>Active</v>
      </c>
      <c r="J86" s="12">
        <v>29</v>
      </c>
    </row>
    <row r="87" spans="2:10">
      <c r="B87" t="s">
        <v>40</v>
      </c>
      <c r="C87" s="5" t="s">
        <v>10</v>
      </c>
      <c r="D87" s="16">
        <v>44997</v>
      </c>
      <c r="E87" s="18">
        <f>_xlfn.DAYS(Table13[[#This Row],[Signup_Date]],D88)</f>
        <v>3</v>
      </c>
      <c r="F87" s="8" t="s">
        <v>8</v>
      </c>
      <c r="G87" s="16">
        <v>45303</v>
      </c>
      <c r="H87" s="14">
        <v>306</v>
      </c>
      <c r="I87" s="8" t="str">
        <f>IF(Table13[[#This Row],[Churn_Date]]="","Active","Not Active")</f>
        <v>Not Active</v>
      </c>
      <c r="J87" s="12">
        <v>19</v>
      </c>
    </row>
    <row r="88" spans="2:10">
      <c r="B88" t="s">
        <v>77</v>
      </c>
      <c r="C88" s="5" t="s">
        <v>10</v>
      </c>
      <c r="D88" s="16">
        <v>44994</v>
      </c>
      <c r="E88" s="18">
        <f>_xlfn.DAYS(Table13[[#This Row],[Signup_Date]],D89)</f>
        <v>0</v>
      </c>
      <c r="F88" s="8" t="s">
        <v>8</v>
      </c>
      <c r="G88" s="16">
        <v>45078</v>
      </c>
      <c r="H88" s="14">
        <v>84</v>
      </c>
      <c r="I88" s="8" t="str">
        <f>IF(Table13[[#This Row],[Churn_Date]]="","Active","Not Active")</f>
        <v>Not Active</v>
      </c>
      <c r="J88" s="12">
        <v>29</v>
      </c>
    </row>
    <row r="89" spans="2:10">
      <c r="B89" t="s">
        <v>30</v>
      </c>
      <c r="C89" s="5" t="s">
        <v>10</v>
      </c>
      <c r="D89" s="16">
        <v>44994</v>
      </c>
      <c r="E89" s="18">
        <f>_xlfn.DAYS(Table13[[#This Row],[Signup_Date]],D90)</f>
        <v>0</v>
      </c>
      <c r="F89" s="8" t="s">
        <v>8</v>
      </c>
      <c r="G89" s="16">
        <v>45150</v>
      </c>
      <c r="H89" s="14">
        <v>156</v>
      </c>
      <c r="I89" s="8" t="str">
        <f>IF(Table13[[#This Row],[Churn_Date]]="","Active","Not Active")</f>
        <v>Not Active</v>
      </c>
      <c r="J89" s="12">
        <v>49</v>
      </c>
    </row>
    <row r="90" spans="2:10">
      <c r="B90" t="s">
        <v>58</v>
      </c>
      <c r="C90" s="5" t="s">
        <v>7</v>
      </c>
      <c r="D90" s="16">
        <v>44994</v>
      </c>
      <c r="E90" s="18">
        <f>_xlfn.DAYS(Table13[[#This Row],[Signup_Date]],D91)</f>
        <v>6</v>
      </c>
      <c r="F90" s="8" t="s">
        <v>14</v>
      </c>
      <c r="H90" s="14" t="s">
        <v>120</v>
      </c>
      <c r="I90" s="8" t="str">
        <f>IF(Table13[[#This Row],[Churn_Date]]="","Active","Not Active")</f>
        <v>Active</v>
      </c>
      <c r="J90" s="12">
        <v>19</v>
      </c>
    </row>
    <row r="91" spans="2:10">
      <c r="B91" t="s">
        <v>67</v>
      </c>
      <c r="C91" s="5" t="s">
        <v>7</v>
      </c>
      <c r="D91" s="16">
        <v>44988</v>
      </c>
      <c r="E91" s="18">
        <f>_xlfn.DAYS(Table13[[#This Row],[Signup_Date]],D92)</f>
        <v>4</v>
      </c>
      <c r="F91" s="8" t="s">
        <v>8</v>
      </c>
      <c r="G91" s="16">
        <v>45363</v>
      </c>
      <c r="H91" s="14">
        <v>375</v>
      </c>
      <c r="I91" s="8" t="str">
        <f>IF(Table13[[#This Row],[Churn_Date]]="","Active","Not Active")</f>
        <v>Not Active</v>
      </c>
      <c r="J91" s="12">
        <v>99</v>
      </c>
    </row>
    <row r="92" spans="2:10">
      <c r="B92" t="s">
        <v>108</v>
      </c>
      <c r="C92" s="5" t="s">
        <v>16</v>
      </c>
      <c r="D92" s="16">
        <v>44984</v>
      </c>
      <c r="E92" s="18">
        <f>_xlfn.DAYS(Table13[[#This Row],[Signup_Date]],D93)</f>
        <v>2</v>
      </c>
      <c r="F92" s="8" t="s">
        <v>8</v>
      </c>
      <c r="G92" s="16">
        <v>45358</v>
      </c>
      <c r="H92" s="14">
        <v>374</v>
      </c>
      <c r="I92" s="8" t="str">
        <f>IF(Table13[[#This Row],[Churn_Date]]="","Active","Not Active")</f>
        <v>Not Active</v>
      </c>
      <c r="J92" s="12">
        <v>29</v>
      </c>
    </row>
    <row r="93" spans="2:10">
      <c r="B93" t="s">
        <v>44</v>
      </c>
      <c r="C93" s="5" t="s">
        <v>10</v>
      </c>
      <c r="D93" s="16">
        <v>44982</v>
      </c>
      <c r="E93" s="18">
        <f>_xlfn.DAYS(Table13[[#This Row],[Signup_Date]],D94)</f>
        <v>0</v>
      </c>
      <c r="F93" s="8" t="s">
        <v>8</v>
      </c>
      <c r="G93" s="16">
        <v>45077</v>
      </c>
      <c r="H93" s="14">
        <v>95</v>
      </c>
      <c r="I93" s="8" t="str">
        <f>IF(Table13[[#This Row],[Churn_Date]]="","Active","Not Active")</f>
        <v>Not Active</v>
      </c>
      <c r="J93" s="12">
        <v>99</v>
      </c>
    </row>
    <row r="94" spans="2:10">
      <c r="B94" t="s">
        <v>60</v>
      </c>
      <c r="C94" s="5" t="s">
        <v>16</v>
      </c>
      <c r="D94" s="16">
        <v>44982</v>
      </c>
      <c r="E94" s="18">
        <f>_xlfn.DAYS(Table13[[#This Row],[Signup_Date]],D95)</f>
        <v>2</v>
      </c>
      <c r="F94" s="8" t="s">
        <v>8</v>
      </c>
      <c r="G94" s="16">
        <v>45097</v>
      </c>
      <c r="H94" s="14">
        <v>115</v>
      </c>
      <c r="I94" s="8" t="str">
        <f>IF(Table13[[#This Row],[Churn_Date]]="","Active","Not Active")</f>
        <v>Not Active</v>
      </c>
      <c r="J94" s="12">
        <v>99</v>
      </c>
    </row>
    <row r="95" spans="2:10">
      <c r="B95" t="s">
        <v>50</v>
      </c>
      <c r="C95" s="5" t="s">
        <v>7</v>
      </c>
      <c r="D95" s="16">
        <v>44980</v>
      </c>
      <c r="E95" s="18">
        <f>_xlfn.DAYS(Table13[[#This Row],[Signup_Date]],D96)</f>
        <v>4</v>
      </c>
      <c r="F95" s="8" t="s">
        <v>8</v>
      </c>
      <c r="G95" s="16">
        <v>45127</v>
      </c>
      <c r="H95" s="14">
        <v>147</v>
      </c>
      <c r="I95" s="8" t="str">
        <f>IF(Table13[[#This Row],[Churn_Date]]="","Active","Not Active")</f>
        <v>Not Active</v>
      </c>
      <c r="J95" s="12">
        <v>19</v>
      </c>
    </row>
    <row r="96" spans="2:10">
      <c r="B96" t="s">
        <v>68</v>
      </c>
      <c r="C96" s="5" t="s">
        <v>10</v>
      </c>
      <c r="D96" s="16">
        <v>44976</v>
      </c>
      <c r="E96" s="18">
        <f>_xlfn.DAYS(Table13[[#This Row],[Signup_Date]],D97)</f>
        <v>1</v>
      </c>
      <c r="F96" s="8" t="s">
        <v>8</v>
      </c>
      <c r="G96" s="16">
        <v>45302</v>
      </c>
      <c r="H96" s="14">
        <v>326</v>
      </c>
      <c r="I96" s="8" t="str">
        <f>IF(Table13[[#This Row],[Churn_Date]]="","Active","Not Active")</f>
        <v>Not Active</v>
      </c>
      <c r="J96" s="12">
        <v>19</v>
      </c>
    </row>
    <row r="97" spans="2:10">
      <c r="B97" t="s">
        <v>73</v>
      </c>
      <c r="C97" s="5" t="s">
        <v>16</v>
      </c>
      <c r="D97" s="16">
        <v>44975</v>
      </c>
      <c r="E97" s="18">
        <f>_xlfn.DAYS(Table13[[#This Row],[Signup_Date]],D98)</f>
        <v>8</v>
      </c>
      <c r="F97" s="8" t="s">
        <v>8</v>
      </c>
      <c r="G97" s="16">
        <v>45264</v>
      </c>
      <c r="H97" s="14">
        <v>289</v>
      </c>
      <c r="I97" s="8" t="str">
        <f>IF(Table13[[#This Row],[Churn_Date]]="","Active","Not Active")</f>
        <v>Not Active</v>
      </c>
      <c r="J97" s="12">
        <v>29</v>
      </c>
    </row>
    <row r="98" spans="2:10">
      <c r="B98" t="s">
        <v>37</v>
      </c>
      <c r="C98" s="5" t="s">
        <v>7</v>
      </c>
      <c r="D98" s="16">
        <v>44967</v>
      </c>
      <c r="E98" s="18">
        <f>_xlfn.DAYS(Table13[[#This Row],[Signup_Date]],D99)</f>
        <v>2</v>
      </c>
      <c r="F98" s="8" t="s">
        <v>14</v>
      </c>
      <c r="H98" s="14" t="s">
        <v>120</v>
      </c>
      <c r="I98" s="8" t="str">
        <f>IF(Table13[[#This Row],[Churn_Date]]="","Active","Not Active")</f>
        <v>Active</v>
      </c>
      <c r="J98" s="12">
        <v>99</v>
      </c>
    </row>
    <row r="99" spans="2:10">
      <c r="B99" t="s">
        <v>48</v>
      </c>
      <c r="C99" s="5" t="s">
        <v>16</v>
      </c>
      <c r="D99" s="16">
        <v>44965</v>
      </c>
      <c r="E99" s="18">
        <f>_xlfn.DAYS(Table13[[#This Row],[Signup_Date]],D100)</f>
        <v>4</v>
      </c>
      <c r="F99" s="8" t="s">
        <v>8</v>
      </c>
      <c r="G99" s="16">
        <v>45027</v>
      </c>
      <c r="H99" s="14">
        <v>62</v>
      </c>
      <c r="I99" s="8" t="str">
        <f>IF(Table13[[#This Row],[Churn_Date]]="","Active","Not Active")</f>
        <v>Not Active</v>
      </c>
      <c r="J99" s="12">
        <v>19</v>
      </c>
    </row>
    <row r="100" spans="2:10">
      <c r="B100" t="s">
        <v>54</v>
      </c>
      <c r="C100" s="5" t="s">
        <v>16</v>
      </c>
      <c r="D100" s="16">
        <v>44961</v>
      </c>
      <c r="E100" s="18">
        <f>_xlfn.DAYS(Table13[[#This Row],[Signup_Date]],D101)</f>
        <v>3</v>
      </c>
      <c r="F100" s="8" t="s">
        <v>14</v>
      </c>
      <c r="H100" s="14" t="s">
        <v>120</v>
      </c>
      <c r="I100" s="8" t="str">
        <f>IF(Table13[[#This Row],[Churn_Date]]="","Active","Not Active")</f>
        <v>Active</v>
      </c>
      <c r="J100" s="12">
        <v>99</v>
      </c>
    </row>
    <row r="101" spans="2:10">
      <c r="B101" t="s">
        <v>72</v>
      </c>
      <c r="C101" s="5" t="s">
        <v>10</v>
      </c>
      <c r="D101" s="16">
        <v>44958</v>
      </c>
      <c r="E101" s="18">
        <f>_xlfn.DAYS(Table13[[#This Row],[Signup_Date]],D102)</f>
        <v>4</v>
      </c>
      <c r="F101" s="8" t="s">
        <v>14</v>
      </c>
      <c r="H101" s="14" t="s">
        <v>120</v>
      </c>
      <c r="I101" s="8" t="str">
        <f>IF(Table13[[#This Row],[Churn_Date]]="","Active","Not Active")</f>
        <v>Active</v>
      </c>
      <c r="J101" s="12">
        <v>19</v>
      </c>
    </row>
    <row r="102" spans="2:10">
      <c r="B102" t="s">
        <v>33</v>
      </c>
      <c r="C102" s="5" t="s">
        <v>10</v>
      </c>
      <c r="D102" s="16">
        <v>44954</v>
      </c>
      <c r="E102" s="18">
        <f>_xlfn.DAYS(Table13[[#This Row],[Signup_Date]],D103)</f>
        <v>4</v>
      </c>
      <c r="F102" s="8" t="s">
        <v>8</v>
      </c>
      <c r="G102" s="16">
        <v>45062</v>
      </c>
      <c r="H102" s="14">
        <v>108</v>
      </c>
      <c r="I102" s="8" t="str">
        <f>IF(Table13[[#This Row],[Churn_Date]]="","Active","Not Active")</f>
        <v>Not Active</v>
      </c>
      <c r="J102" s="12">
        <v>29</v>
      </c>
    </row>
    <row r="103" spans="2:10">
      <c r="B103" t="s">
        <v>19</v>
      </c>
      <c r="C103" s="5" t="s">
        <v>10</v>
      </c>
      <c r="D103" s="16">
        <v>44950</v>
      </c>
      <c r="E103" s="18">
        <f>_xlfn.DAYS(Table13[[#This Row],[Signup_Date]],D104)</f>
        <v>0</v>
      </c>
      <c r="F103" s="8" t="s">
        <v>14</v>
      </c>
      <c r="H103" s="14" t="s">
        <v>120</v>
      </c>
      <c r="I103" s="8" t="str">
        <f>IF(Table13[[#This Row],[Churn_Date]]="","Active","Not Active")</f>
        <v>Active</v>
      </c>
      <c r="J103" s="12">
        <v>19</v>
      </c>
    </row>
    <row r="104" spans="2:10">
      <c r="B104" t="s">
        <v>38</v>
      </c>
      <c r="C104" s="5" t="s">
        <v>10</v>
      </c>
      <c r="D104" s="16">
        <v>44950</v>
      </c>
      <c r="E104" s="18">
        <f>_xlfn.DAYS(Table13[[#This Row],[Signup_Date]],D105)</f>
        <v>11</v>
      </c>
      <c r="F104" s="8" t="s">
        <v>14</v>
      </c>
      <c r="H104" s="14" t="s">
        <v>120</v>
      </c>
      <c r="I104" s="8" t="str">
        <f>IF(Table13[[#This Row],[Churn_Date]]="","Active","Not Active")</f>
        <v>Active</v>
      </c>
      <c r="J104" s="12">
        <v>29</v>
      </c>
    </row>
    <row r="105" spans="2:10">
      <c r="B105" t="s">
        <v>56</v>
      </c>
      <c r="C105" s="5" t="s">
        <v>7</v>
      </c>
      <c r="D105" s="16">
        <v>44939</v>
      </c>
      <c r="E105" s="18">
        <v>0</v>
      </c>
      <c r="F105" s="8" t="s">
        <v>14</v>
      </c>
      <c r="H105" s="14" t="s">
        <v>120</v>
      </c>
      <c r="I105" s="8" t="str">
        <f>IF(Table13[[#This Row],[Churn_Date]]="","Active","Not Active")</f>
        <v>Active</v>
      </c>
      <c r="J105" s="12">
        <v>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F328-D17E-4FE5-92F8-EE541EEEBC38}">
  <dimension ref="C2:J39"/>
  <sheetViews>
    <sheetView workbookViewId="0">
      <selection activeCell="A12" sqref="A12"/>
    </sheetView>
  </sheetViews>
  <sheetFormatPr defaultRowHeight="15" outlineLevelRow="2"/>
  <cols>
    <col min="2" max="2" width="6.28515625" customWidth="1"/>
    <col min="3" max="3" width="14.5703125" bestFit="1" customWidth="1"/>
    <col min="4" max="4" width="9.85546875" bestFit="1" customWidth="1"/>
    <col min="5" max="5" width="13.5703125" bestFit="1" customWidth="1"/>
    <col min="6" max="6" width="21.28515625" bestFit="1" customWidth="1"/>
    <col min="7" max="7" width="29.7109375" bestFit="1" customWidth="1"/>
    <col min="8" max="8" width="29.42578125" bestFit="1" customWidth="1"/>
    <col min="9" max="10" width="31.85546875" bestFit="1" customWidth="1"/>
    <col min="11" max="15" width="3" bestFit="1" customWidth="1"/>
    <col min="16" max="51" width="4.140625" bestFit="1" customWidth="1"/>
    <col min="52" max="52" width="5.140625" bestFit="1" customWidth="1"/>
    <col min="53" max="53" width="10.85546875" bestFit="1" customWidth="1"/>
    <col min="54" max="99" width="6.28515625" bestFit="1" customWidth="1"/>
    <col min="100" max="100" width="7.28515625" bestFit="1" customWidth="1"/>
    <col min="101" max="101" width="18.7109375" bestFit="1" customWidth="1"/>
    <col min="102" max="102" width="15.85546875" bestFit="1" customWidth="1"/>
    <col min="103" max="105" width="9.28515625" bestFit="1" customWidth="1"/>
    <col min="106" max="113" width="10.28515625" bestFit="1" customWidth="1"/>
    <col min="114" max="117" width="9.28515625" bestFit="1" customWidth="1"/>
    <col min="118" max="120" width="10.28515625" bestFit="1" customWidth="1"/>
    <col min="121" max="124" width="9.28515625" bestFit="1" customWidth="1"/>
    <col min="125" max="126" width="10.28515625" bestFit="1" customWidth="1"/>
    <col min="127" max="131" width="9.28515625" bestFit="1" customWidth="1"/>
    <col min="132" max="135" width="10.28515625" bestFit="1" customWidth="1"/>
    <col min="136" max="136" width="9.28515625" bestFit="1" customWidth="1"/>
    <col min="137" max="140" width="10.28515625" bestFit="1" customWidth="1"/>
    <col min="141" max="146" width="9.28515625" bestFit="1" customWidth="1"/>
    <col min="147" max="149" width="10.28515625" bestFit="1" customWidth="1"/>
    <col min="150" max="154" width="11.42578125" bestFit="1" customWidth="1"/>
    <col min="155" max="156" width="10.28515625" bestFit="1" customWidth="1"/>
    <col min="157" max="166" width="11.42578125" bestFit="1" customWidth="1"/>
    <col min="167" max="167" width="18.7109375" bestFit="1" customWidth="1"/>
    <col min="168" max="168" width="15.85546875" bestFit="1" customWidth="1"/>
    <col min="169" max="171" width="9.28515625" bestFit="1" customWidth="1"/>
    <col min="172" max="177" width="10.28515625" bestFit="1" customWidth="1"/>
    <col min="178" max="179" width="9.28515625" bestFit="1" customWidth="1"/>
    <col min="180" max="182" width="10.28515625" bestFit="1" customWidth="1"/>
    <col min="183" max="185" width="9.28515625" bestFit="1" customWidth="1"/>
    <col min="186" max="193" width="10.28515625" bestFit="1" customWidth="1"/>
    <col min="194" max="197" width="9.28515625" bestFit="1" customWidth="1"/>
    <col min="198" max="200" width="10.28515625" bestFit="1" customWidth="1"/>
    <col min="201" max="204" width="9.28515625" bestFit="1" customWidth="1"/>
    <col min="205" max="206" width="10.28515625" bestFit="1" customWidth="1"/>
    <col min="207" max="211" width="9.28515625" bestFit="1" customWidth="1"/>
    <col min="212" max="215" width="10.28515625" bestFit="1" customWidth="1"/>
    <col min="216" max="216" width="9.28515625" bestFit="1" customWidth="1"/>
    <col min="217" max="220" width="10.28515625" bestFit="1" customWidth="1"/>
    <col min="221" max="226" width="9.28515625" bestFit="1" customWidth="1"/>
    <col min="227" max="229" width="10.28515625" bestFit="1" customWidth="1"/>
    <col min="230" max="234" width="11.42578125" bestFit="1" customWidth="1"/>
    <col min="235" max="236" width="10.28515625" bestFit="1" customWidth="1"/>
    <col min="237" max="246" width="11.42578125" bestFit="1" customWidth="1"/>
    <col min="247" max="247" width="18.7109375" bestFit="1" customWidth="1"/>
    <col min="248" max="248" width="15.85546875" bestFit="1" customWidth="1"/>
    <col min="249" max="249" width="17.85546875" bestFit="1" customWidth="1"/>
  </cols>
  <sheetData>
    <row r="2" spans="3:9">
      <c r="D2" s="42" t="s">
        <v>121</v>
      </c>
      <c r="E2" s="43"/>
      <c r="F2" s="43"/>
      <c r="G2" s="43"/>
      <c r="H2" s="43"/>
    </row>
    <row r="3" spans="3:9">
      <c r="D3" s="43"/>
      <c r="E3" s="43"/>
      <c r="F3" s="43"/>
      <c r="G3" s="43"/>
      <c r="H3" s="43"/>
    </row>
    <row r="4" spans="3:9">
      <c r="D4" s="43"/>
      <c r="E4" s="43"/>
      <c r="F4" s="43"/>
      <c r="G4" s="43"/>
      <c r="H4" s="43"/>
    </row>
    <row r="6" spans="3:9">
      <c r="C6" s="20" t="s">
        <v>118</v>
      </c>
      <c r="D6" s="20" t="s">
        <v>112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</row>
    <row r="7" spans="3:9">
      <c r="C7" t="s">
        <v>127</v>
      </c>
      <c r="D7" t="s">
        <v>7</v>
      </c>
      <c r="E7" s="19">
        <v>555</v>
      </c>
      <c r="F7" s="23">
        <v>0.15</v>
      </c>
      <c r="G7" s="21">
        <v>0</v>
      </c>
      <c r="H7" s="21">
        <v>0</v>
      </c>
      <c r="I7" s="19">
        <v>5.1333333333333337</v>
      </c>
    </row>
    <row r="8" spans="3:9">
      <c r="D8" t="s">
        <v>10</v>
      </c>
      <c r="E8" s="19">
        <v>852</v>
      </c>
      <c r="F8" s="23">
        <v>0.18</v>
      </c>
      <c r="G8" s="21">
        <v>0</v>
      </c>
      <c r="H8" s="21">
        <v>0</v>
      </c>
      <c r="I8" s="19">
        <v>3.9444444444444446</v>
      </c>
    </row>
    <row r="9" spans="3:9">
      <c r="D9" t="s">
        <v>16</v>
      </c>
      <c r="E9" s="19">
        <v>807</v>
      </c>
      <c r="F9" s="23">
        <v>0.13</v>
      </c>
      <c r="G9" s="21">
        <v>0</v>
      </c>
      <c r="H9" s="21">
        <v>0</v>
      </c>
      <c r="I9" s="19">
        <v>2.9230769230769229</v>
      </c>
    </row>
    <row r="10" spans="3:9">
      <c r="C10" s="24" t="s">
        <v>128</v>
      </c>
      <c r="E10" s="19">
        <v>2214</v>
      </c>
      <c r="F10" s="22">
        <v>0.46</v>
      </c>
      <c r="G10" s="21">
        <v>0</v>
      </c>
      <c r="H10" s="21">
        <v>0</v>
      </c>
      <c r="I10" s="19">
        <v>4.0434782608695654</v>
      </c>
    </row>
    <row r="11" spans="3:9">
      <c r="C11" t="s">
        <v>129</v>
      </c>
      <c r="D11" t="s">
        <v>7</v>
      </c>
      <c r="E11" s="19">
        <v>738</v>
      </c>
      <c r="F11" s="23">
        <v>0.12</v>
      </c>
      <c r="G11" s="21">
        <v>375</v>
      </c>
      <c r="H11" s="21">
        <v>45</v>
      </c>
      <c r="I11" s="19">
        <v>2.9166666666666665</v>
      </c>
    </row>
    <row r="12" spans="3:9">
      <c r="D12" t="s">
        <v>10</v>
      </c>
      <c r="E12" s="19">
        <v>1166</v>
      </c>
      <c r="F12" s="23">
        <v>0.24</v>
      </c>
      <c r="G12" s="21">
        <v>400</v>
      </c>
      <c r="H12" s="21">
        <v>53</v>
      </c>
      <c r="I12" s="19">
        <v>3</v>
      </c>
    </row>
    <row r="13" spans="3:9">
      <c r="D13" t="s">
        <v>16</v>
      </c>
      <c r="E13" s="19">
        <v>822</v>
      </c>
      <c r="F13" s="23">
        <v>0.18</v>
      </c>
      <c r="G13" s="21">
        <v>398</v>
      </c>
      <c r="H13" s="21">
        <v>62</v>
      </c>
      <c r="I13" s="19">
        <v>2.6111111111111112</v>
      </c>
    </row>
    <row r="14" spans="3:9">
      <c r="C14" s="26" t="s">
        <v>130</v>
      </c>
      <c r="D14" s="25"/>
      <c r="E14" s="19">
        <v>2726</v>
      </c>
      <c r="F14" s="22">
        <v>0.54</v>
      </c>
      <c r="G14" s="21">
        <v>400</v>
      </c>
      <c r="H14" s="21">
        <v>45</v>
      </c>
      <c r="I14" s="19">
        <v>2.8518518518518516</v>
      </c>
    </row>
    <row r="15" spans="3:9">
      <c r="C15" t="s">
        <v>131</v>
      </c>
      <c r="E15" s="19">
        <v>4940</v>
      </c>
      <c r="F15" s="23">
        <v>1</v>
      </c>
      <c r="G15" s="21">
        <v>400</v>
      </c>
      <c r="H15" s="21">
        <v>45</v>
      </c>
      <c r="I15" s="19">
        <v>3.4</v>
      </c>
    </row>
    <row r="18" spans="3:10" outlineLevel="2">
      <c r="C18" s="27" t="s">
        <v>118</v>
      </c>
      <c r="D18" s="27" t="s">
        <v>112</v>
      </c>
      <c r="E18" s="27" t="s">
        <v>122</v>
      </c>
      <c r="G18" s="27" t="s">
        <v>118</v>
      </c>
      <c r="H18" s="27" t="s">
        <v>112</v>
      </c>
      <c r="I18" s="27" t="s">
        <v>123</v>
      </c>
    </row>
    <row r="19" spans="3:10" outlineLevel="2">
      <c r="C19" s="40" t="s">
        <v>127</v>
      </c>
      <c r="D19" t="s">
        <v>7</v>
      </c>
      <c r="E19" s="19">
        <v>555</v>
      </c>
      <c r="G19" s="40" t="s">
        <v>127</v>
      </c>
      <c r="H19" t="s">
        <v>7</v>
      </c>
      <c r="I19" s="23">
        <v>0.15</v>
      </c>
    </row>
    <row r="20" spans="3:10" outlineLevel="2">
      <c r="C20" s="28"/>
      <c r="D20" t="s">
        <v>10</v>
      </c>
      <c r="E20" s="19">
        <v>852</v>
      </c>
      <c r="G20" s="28"/>
      <c r="H20" t="s">
        <v>10</v>
      </c>
      <c r="I20" s="23">
        <v>0.18</v>
      </c>
    </row>
    <row r="21" spans="3:10" outlineLevel="2">
      <c r="C21" s="29"/>
      <c r="D21" t="s">
        <v>16</v>
      </c>
      <c r="E21" s="19">
        <v>807</v>
      </c>
      <c r="G21" s="29"/>
      <c r="H21" t="s">
        <v>16</v>
      </c>
      <c r="I21" s="23">
        <v>0.13</v>
      </c>
    </row>
    <row r="22" spans="3:10" outlineLevel="2">
      <c r="C22" s="38"/>
      <c r="D22" s="30"/>
      <c r="E22" s="31"/>
      <c r="G22" s="39"/>
      <c r="H22" s="30"/>
      <c r="I22" s="34"/>
    </row>
    <row r="23" spans="3:10" outlineLevel="2">
      <c r="C23" s="41" t="s">
        <v>129</v>
      </c>
      <c r="D23" t="s">
        <v>7</v>
      </c>
      <c r="E23" s="19">
        <v>738</v>
      </c>
      <c r="G23" s="41" t="s">
        <v>129</v>
      </c>
      <c r="H23" t="s">
        <v>7</v>
      </c>
      <c r="I23" s="23">
        <v>0.12</v>
      </c>
    </row>
    <row r="24" spans="3:10" outlineLevel="2">
      <c r="C24" s="28"/>
      <c r="D24" t="s">
        <v>10</v>
      </c>
      <c r="E24" s="19">
        <v>1166</v>
      </c>
      <c r="G24" s="28"/>
      <c r="H24" t="s">
        <v>10</v>
      </c>
      <c r="I24" s="23">
        <v>0.24</v>
      </c>
    </row>
    <row r="25" spans="3:10" outlineLevel="2">
      <c r="C25" s="29"/>
      <c r="D25" t="s">
        <v>16</v>
      </c>
      <c r="E25" s="19">
        <v>822</v>
      </c>
      <c r="G25" s="29"/>
      <c r="H25" t="s">
        <v>16</v>
      </c>
      <c r="I25" s="23">
        <v>0.18</v>
      </c>
    </row>
    <row r="26" spans="3:10" outlineLevel="2">
      <c r="C26" s="38"/>
      <c r="D26" s="30"/>
      <c r="E26" s="31"/>
      <c r="G26" s="38"/>
      <c r="H26" s="30"/>
      <c r="I26" s="34"/>
    </row>
    <row r="27" spans="3:10" outlineLevel="2">
      <c r="C27" s="32" t="s">
        <v>131</v>
      </c>
      <c r="D27" s="32"/>
      <c r="E27" s="33">
        <v>4940</v>
      </c>
      <c r="G27" s="32" t="s">
        <v>131</v>
      </c>
      <c r="H27" s="32"/>
      <c r="I27" s="35">
        <v>1</v>
      </c>
    </row>
    <row r="30" spans="3:10" outlineLevel="2">
      <c r="C30" s="27" t="s">
        <v>118</v>
      </c>
      <c r="D30" s="27" t="s">
        <v>112</v>
      </c>
      <c r="E30" s="27" t="s">
        <v>124</v>
      </c>
      <c r="F30" s="27" t="s">
        <v>125</v>
      </c>
      <c r="H30" s="27" t="s">
        <v>118</v>
      </c>
      <c r="I30" s="27" t="s">
        <v>112</v>
      </c>
      <c r="J30" s="27" t="s">
        <v>126</v>
      </c>
    </row>
    <row r="31" spans="3:10" outlineLevel="2">
      <c r="C31" s="40" t="s">
        <v>127</v>
      </c>
      <c r="D31" t="s">
        <v>7</v>
      </c>
      <c r="E31" s="21">
        <v>0</v>
      </c>
      <c r="F31" s="21">
        <v>0</v>
      </c>
      <c r="H31" s="40" t="s">
        <v>127</v>
      </c>
      <c r="I31" t="s">
        <v>7</v>
      </c>
      <c r="J31" s="19">
        <v>5.1333333333333337</v>
      </c>
    </row>
    <row r="32" spans="3:10" outlineLevel="2">
      <c r="C32" s="28"/>
      <c r="D32" t="s">
        <v>10</v>
      </c>
      <c r="E32" s="21">
        <v>0</v>
      </c>
      <c r="F32" s="21">
        <v>0</v>
      </c>
      <c r="H32" s="28"/>
      <c r="I32" t="s">
        <v>10</v>
      </c>
      <c r="J32" s="19">
        <v>3.9444444444444446</v>
      </c>
    </row>
    <row r="33" spans="3:10" outlineLevel="2">
      <c r="C33" s="29"/>
      <c r="D33" t="s">
        <v>16</v>
      </c>
      <c r="E33" s="21">
        <v>0</v>
      </c>
      <c r="F33" s="21">
        <v>0</v>
      </c>
      <c r="H33" s="29"/>
      <c r="I33" t="s">
        <v>16</v>
      </c>
      <c r="J33" s="19">
        <v>2.9230769230769229</v>
      </c>
    </row>
    <row r="34" spans="3:10" outlineLevel="2">
      <c r="C34" s="38"/>
      <c r="D34" s="30"/>
      <c r="E34" s="36"/>
      <c r="F34" s="36"/>
      <c r="H34" s="38"/>
      <c r="I34" s="30"/>
      <c r="J34" s="31"/>
    </row>
    <row r="35" spans="3:10" outlineLevel="2">
      <c r="C35" s="41" t="s">
        <v>129</v>
      </c>
      <c r="D35" t="s">
        <v>7</v>
      </c>
      <c r="E35" s="21">
        <v>375</v>
      </c>
      <c r="F35" s="21">
        <v>45</v>
      </c>
      <c r="H35" s="41" t="s">
        <v>129</v>
      </c>
      <c r="I35" t="s">
        <v>7</v>
      </c>
      <c r="J35" s="19">
        <v>2.9166666666666665</v>
      </c>
    </row>
    <row r="36" spans="3:10" outlineLevel="2">
      <c r="C36" s="28"/>
      <c r="D36" t="s">
        <v>10</v>
      </c>
      <c r="E36" s="21">
        <v>400</v>
      </c>
      <c r="F36" s="21">
        <v>53</v>
      </c>
      <c r="H36" s="28"/>
      <c r="I36" t="s">
        <v>10</v>
      </c>
      <c r="J36" s="19">
        <v>3</v>
      </c>
    </row>
    <row r="37" spans="3:10" outlineLevel="2">
      <c r="C37" s="29"/>
      <c r="D37" t="s">
        <v>16</v>
      </c>
      <c r="E37" s="21">
        <v>398</v>
      </c>
      <c r="F37" s="21">
        <v>62</v>
      </c>
      <c r="H37" s="29"/>
      <c r="I37" t="s">
        <v>16</v>
      </c>
      <c r="J37" s="19">
        <v>2.6111111111111112</v>
      </c>
    </row>
    <row r="38" spans="3:10" outlineLevel="2">
      <c r="C38" s="38"/>
      <c r="D38" s="30"/>
      <c r="E38" s="36"/>
      <c r="F38" s="36"/>
      <c r="H38" s="38"/>
      <c r="I38" s="30"/>
      <c r="J38" s="31"/>
    </row>
    <row r="39" spans="3:10" outlineLevel="2">
      <c r="C39" s="32" t="s">
        <v>131</v>
      </c>
      <c r="D39" s="32"/>
      <c r="E39" s="37">
        <v>400</v>
      </c>
      <c r="F39" s="37">
        <v>45</v>
      </c>
      <c r="H39" s="32" t="s">
        <v>131</v>
      </c>
      <c r="I39" s="32"/>
      <c r="J39" s="33">
        <v>3.4</v>
      </c>
    </row>
  </sheetData>
  <mergeCells count="1">
    <mergeCell ref="D2:H4"/>
  </mergeCells>
  <conditionalFormatting sqref="E6:E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{ED0171AA-CD37-47F9-9DBB-6A55A026271F}</x14:id>
        </ext>
      </extLst>
    </cfRule>
  </conditionalFormatting>
  <conditionalFormatting pivot="1" sqref="E11:E13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{4C14A880-2698-41E6-9C5E-67F341C2E8B0}</x14:id>
        </ext>
      </extLst>
    </cfRule>
  </conditionalFormatting>
  <conditionalFormatting pivot="1" sqref="F7:F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{3AE92DF1-AB91-4CCA-BF4E-255A065F2FE6}</x14:id>
        </ext>
      </extLst>
    </cfRule>
  </conditionalFormatting>
  <conditionalFormatting pivot="1" sqref="F11:F1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{F682B93D-385D-4022-A876-846FE17174EF}</x14:id>
        </ext>
      </extLst>
    </cfRule>
  </conditionalFormatting>
  <conditionalFormatting pivot="1" sqref="E7:E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{90397246-4809-4000-ABD6-C75312875E3F}</x14:id>
        </ext>
      </extLst>
    </cfRule>
  </conditionalFormatting>
  <conditionalFormatting pivot="1" sqref="E11:E13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{47F7E472-3EE9-4DB4-8DCF-01D2808302AF}</x14:id>
        </ext>
      </extLst>
    </cfRule>
  </conditionalFormatting>
  <conditionalFormatting sqref="E18:E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{46549C75-7CB0-43CD-B54F-22A5805F0439}</x14:id>
        </ext>
      </extLst>
    </cfRule>
  </conditionalFormatting>
  <conditionalFormatting sqref="E23:E25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{98C11F25-8136-4E49-9252-F35D362DEFA4}</x14:id>
        </ext>
      </extLst>
    </cfRule>
  </conditionalFormatting>
  <conditionalFormatting sqref="E19:E2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{C9D79541-6801-4D0E-9B8E-3F1736BE43E7}</x14:id>
        </ext>
      </extLst>
    </cfRule>
  </conditionalFormatting>
  <conditionalFormatting sqref="E23:E2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{FF1668B9-F27A-4A5D-BB9B-30454AEB8533}</x14:id>
        </ext>
      </extLst>
    </cfRule>
  </conditionalFormatting>
  <conditionalFormatting sqref="I19:I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{1F84501E-AF10-40E0-95AE-28812163B264}</x14:id>
        </ext>
      </extLst>
    </cfRule>
  </conditionalFormatting>
  <conditionalFormatting sqref="I23:I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{A9514D25-BD11-48D3-8EED-014FF2812412}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0171AA-CD37-47F9-9DBB-6A55A02627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E6:E9</xm:sqref>
        </x14:conditionalFormatting>
        <x14:conditionalFormatting xmlns:xm="http://schemas.microsoft.com/office/excel/2006/main" pivot="1">
          <x14:cfRule type="dataBar" id="{4C14A880-2698-41E6-9C5E-67F341C2E8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E11:E13</xm:sqref>
        </x14:conditionalFormatting>
        <x14:conditionalFormatting xmlns:xm="http://schemas.microsoft.com/office/excel/2006/main" pivot="1">
          <x14:cfRule type="dataBar" id="{3AE92DF1-AB91-4CCA-BF4E-255A065F2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F7:F9</xm:sqref>
        </x14:conditionalFormatting>
        <x14:conditionalFormatting xmlns:xm="http://schemas.microsoft.com/office/excel/2006/main" pivot="1">
          <x14:cfRule type="dataBar" id="{F682B93D-385D-4022-A876-846FE1717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F11:F13</xm:sqref>
        </x14:conditionalFormatting>
        <x14:conditionalFormatting xmlns:xm="http://schemas.microsoft.com/office/excel/2006/main" pivot="1">
          <x14:cfRule type="dataBar" id="{90397246-4809-4000-ABD6-C75312875E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E7:E9</xm:sqref>
        </x14:conditionalFormatting>
        <x14:conditionalFormatting xmlns:xm="http://schemas.microsoft.com/office/excel/2006/main" pivot="1">
          <x14:cfRule type="dataBar" id="{47F7E472-3EE9-4DB4-8DCF-01D2808302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E11:E13</xm:sqref>
        </x14:conditionalFormatting>
        <x14:conditionalFormatting xmlns:xm="http://schemas.microsoft.com/office/excel/2006/main">
          <x14:cfRule type="dataBar" id="{46549C75-7CB0-43CD-B54F-22A5805F04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E18:E21</xm:sqref>
        </x14:conditionalFormatting>
        <x14:conditionalFormatting xmlns:xm="http://schemas.microsoft.com/office/excel/2006/main">
          <x14:cfRule type="dataBar" id="{98C11F25-8136-4E49-9252-F35D362DEF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E23:E25</xm:sqref>
        </x14:conditionalFormatting>
        <x14:conditionalFormatting xmlns:xm="http://schemas.microsoft.com/office/excel/2006/main">
          <x14:cfRule type="dataBar" id="{C9D79541-6801-4D0E-9B8E-3F1736BE43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FF1668B9-F27A-4A5D-BB9B-30454AEB85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E23:E25</xm:sqref>
        </x14:conditionalFormatting>
        <x14:conditionalFormatting xmlns:xm="http://schemas.microsoft.com/office/excel/2006/main">
          <x14:cfRule type="dataBar" id="{1F84501E-AF10-40E0-95AE-28812163B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I19:I21</xm:sqref>
        </x14:conditionalFormatting>
        <x14:conditionalFormatting xmlns:xm="http://schemas.microsoft.com/office/excel/2006/main">
          <x14:cfRule type="dataBar" id="{A9514D25-BD11-48D3-8EED-014FF28124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I23:I25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F218-73FC-4077-896C-37B4BA7BEC39}">
  <dimension ref="A1:T30"/>
  <sheetViews>
    <sheetView workbookViewId="0"/>
  </sheetViews>
  <sheetFormatPr defaultRowHeight="15" outlineLevelRow="1"/>
  <sheetData>
    <row r="1" spans="1:20" outlineLevel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outlineLevel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outlineLevel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spans="1:20" outlineLevel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0" outlineLevel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outlineLevel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spans="1:20" outlineLevel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 outlineLevel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spans="1:20" outlineLevel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spans="1:20" outlineLevel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spans="1:20" outlineLevel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spans="1:20" outlineLevel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spans="1:20" outlineLevel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spans="1:20" outlineLevel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spans="1:20" outlineLevel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spans="1:20" outlineLevel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r="17" spans="1:20" outlineLevel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spans="1:20" outlineLevel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spans="1:20" outlineLevel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spans="1:20" outlineLevel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r="21" spans="1:20" outlineLevel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spans="1:20" outlineLevel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spans="1:20" outlineLevel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spans="1:20" outlineLevel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spans="1:20" outlineLevel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outlineLevel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 spans="1:20" outlineLevel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 spans="1:20" outlineLevel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spans="1:20" outlineLevel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 spans="1:20" outlineLevel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</sheetData>
  <mergeCells count="1">
    <mergeCell ref="A1:T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Mohit Vishwakarma</cp:lastModifiedBy>
  <cp:revision/>
  <dcterms:created xsi:type="dcterms:W3CDTF">2026-01-26T06:13:38Z</dcterms:created>
  <dcterms:modified xsi:type="dcterms:W3CDTF">2026-01-30T12:08:41Z</dcterms:modified>
  <cp:category/>
  <cp:contentStatus/>
</cp:coreProperties>
</file>